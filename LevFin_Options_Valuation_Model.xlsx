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520" yWindow="-7185" windowWidth="38640" windowHeight="21120" tabRatio="787" firstSheet="0" activeTab="0" autoFilterDateGrouping="1"/>
  </bookViews>
  <sheets>
    <sheet name="Cover" sheetId="1" state="visible" r:id="rId1"/>
    <sheet name="Inputs" sheetId="2" state="visible" r:id="rId2"/>
    <sheet name="Merton Credit Put" sheetId="3" state="visible" r:id="rId3"/>
    <sheet name="Call Schedule (HY)" sheetId="4" state="visible" r:id="rId4"/>
    <sheet name="Debt Incurrence" sheetId="5" state="visible" r:id="rId5"/>
    <sheet name="Restricted Payments" sheetId="6" state="visible" r:id="rId6"/>
    <sheet name="Asset Sale Bundle" sheetId="7" state="visible" r:id="rId7"/>
    <sheet name="CoC &amp; Portability" sheetId="8" state="visible" r:id="rId8"/>
    <sheet name="Equity Cure" sheetId="9" state="visible" r:id="rId9"/>
    <sheet name="Springing Cov + MFN" sheetId="10" state="visible" r:id="rId10"/>
    <sheet name="LME Bundle" sheetId="11" state="visible" r:id="rId11"/>
    <sheet name="Master Summary" sheetId="12" state="visible" r:id="rId12"/>
    <sheet name="Sensitivity" sheetId="13" state="visible" r:id="rId13"/>
  </sheets>
  <definedNames/>
  <calcPr calcId="191029" fullCalcOnLoad="1" iterateDelta="0.0001"/>
</workbook>
</file>

<file path=xl/styles.xml><?xml version="1.0" encoding="utf-8"?>
<styleSheet xmlns="http://schemas.openxmlformats.org/spreadsheetml/2006/main">
  <numFmts count="6">
    <numFmt numFmtId="164" formatCode="0.00\x"/>
    <numFmt numFmtId="165" formatCode="0.0%"/>
    <numFmt numFmtId="166" formatCode="0.0000"/>
    <numFmt numFmtId="167" formatCode="#,##0.0"/>
    <numFmt numFmtId="168" formatCode="0.0"/>
    <numFmt numFmtId="169" formatCode="0.000%"/>
  </numFmts>
  <fonts count="21">
    <font>
      <name val="Calibri"/>
      <charset val="1"/>
      <family val="2"/>
      <color theme="1"/>
      <sz val="11"/>
    </font>
    <font>
      <name val="Calibri"/>
      <family val="2"/>
      <b val="1"/>
      <color rgb="FF1F3864"/>
      <sz val="22"/>
    </font>
    <font>
      <name val="Calibri"/>
      <family val="2"/>
      <i val="1"/>
      <color rgb="FF606060"/>
      <sz val="14"/>
    </font>
    <font>
      <name val="Calibri"/>
      <family val="2"/>
      <sz val="11"/>
    </font>
    <font>
      <name val="Calibri"/>
      <family val="2"/>
      <i val="1"/>
      <color rgb="FF606060"/>
      <sz val="10"/>
    </font>
    <font>
      <name val="Calibri"/>
      <family val="2"/>
      <i val="1"/>
      <color rgb="FFC00000"/>
      <sz val="10"/>
    </font>
    <font>
      <name val="Calibri"/>
      <family val="2"/>
      <b val="1"/>
      <color rgb="FF1F3864"/>
      <sz val="14"/>
    </font>
    <font>
      <name val="Calibri"/>
      <family val="2"/>
      <b val="1"/>
      <sz val="11"/>
    </font>
    <font>
      <name val="Calibri"/>
      <family val="2"/>
      <i val="1"/>
      <color rgb="FF404040"/>
      <sz val="10"/>
    </font>
    <font>
      <name val="Calibri"/>
      <family val="2"/>
      <b val="1"/>
      <color rgb="FFFFFFFF"/>
      <sz val="12"/>
    </font>
    <font>
      <name val="Calibri"/>
      <family val="2"/>
      <b val="1"/>
      <color rgb="FF1F4E79"/>
      <sz val="11"/>
    </font>
    <font>
      <name val="Calibri"/>
      <family val="2"/>
      <i val="1"/>
      <color rgb="FF606060"/>
      <sz val="11"/>
    </font>
    <font>
      <name val="Calibri"/>
      <family val="2"/>
      <b val="1"/>
      <color rgb="FF1F3864"/>
      <sz val="11"/>
    </font>
    <font>
      <name val="Calibri"/>
      <family val="2"/>
      <b val="1"/>
      <color rgb="FFC00000"/>
      <sz val="12"/>
    </font>
    <font>
      <name val="Calibri"/>
      <family val="2"/>
      <b val="1"/>
      <color rgb="FFC00000"/>
      <sz val="11"/>
    </font>
    <font>
      <name val="Calibri"/>
      <family val="2"/>
      <b val="1"/>
      <color rgb="FF00B050"/>
      <sz val="11"/>
    </font>
    <font>
      <b val="1"/>
      <color rgb="00FFFFFF"/>
      <sz val="14"/>
    </font>
    <font>
      <i val="1"/>
      <color rgb="00666666"/>
    </font>
    <font>
      <b val="1"/>
      <color rgb="00FFFFFF"/>
    </font>
    <font>
      <b val="1"/>
    </font>
    <font>
      <b val="1"/>
      <i val="1"/>
    </font>
  </fonts>
  <fills count="8">
    <fill>
      <patternFill/>
    </fill>
    <fill>
      <patternFill patternType="gray125"/>
    </fill>
    <fill>
      <patternFill patternType="solid">
        <fgColor rgb="FF1F3864"/>
        <bgColor rgb="FF1F4E79"/>
      </patternFill>
    </fill>
    <fill>
      <patternFill patternType="solid">
        <fgColor rgb="FFE2EFDA"/>
        <bgColor rgb="FFFFF2CC"/>
      </patternFill>
    </fill>
    <fill>
      <patternFill patternType="solid">
        <fgColor rgb="FFFFF2CC"/>
        <bgColor rgb="FFE2EFDA"/>
      </patternFill>
    </fill>
    <fill>
      <patternFill patternType="solid">
        <fgColor rgb="001F4E78"/>
      </patternFill>
    </fill>
    <fill>
      <patternFill patternType="solid">
        <fgColor rgb="00305496"/>
      </patternFill>
    </fill>
    <fill>
      <patternFill patternType="solid">
        <fgColor rgb="00FFF2CC"/>
      </patternFill>
    </fill>
  </fills>
  <borders count="7">
    <border>
      <left/>
      <right/>
      <top/>
      <bottom/>
      <diagonal/>
    </border>
    <border>
      <left style="thin">
        <color rgb="FF888888"/>
      </left>
      <right style="thin">
        <color rgb="FF888888"/>
      </right>
      <top style="thin">
        <color rgb="FF888888"/>
      </top>
      <bottom style="thin">
        <color rgb="FF888888"/>
      </bottom>
      <diagonal/>
    </border>
    <border>
      <left/>
      <right/>
      <top style="thin">
        <color rgb="FF888888"/>
      </top>
      <bottom/>
      <diagonal/>
    </border>
    <border>
      <left/>
      <right style="thin">
        <color rgb="FF888888"/>
      </right>
      <top style="thin">
        <color rgb="FF888888"/>
      </top>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6">
    <xf numFmtId="0" fontId="0" fillId="0" borderId="0" pivotButton="0" quotePrefix="0" xfId="0"/>
    <xf numFmtId="0" fontId="9" fillId="2" borderId="1" applyAlignment="1" pivotButton="0" quotePrefix="0" xfId="0">
      <alignment horizontal="center" vertical="center"/>
    </xf>
    <xf numFmtId="0" fontId="6" fillId="0" borderId="0" applyAlignment="1" pivotButton="0" quotePrefix="0" xfId="0">
      <alignment horizontal="left" vertical="center"/>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horizontal="left" vertical="top" wrapText="1"/>
    </xf>
    <xf numFmtId="0" fontId="7" fillId="0" borderId="0" pivotButton="0" quotePrefix="0" xfId="0"/>
    <xf numFmtId="0" fontId="8" fillId="0" borderId="0" pivotButton="0" quotePrefix="0" xfId="0"/>
    <xf numFmtId="0" fontId="3" fillId="0" borderId="0" applyAlignment="1" pivotButton="0" quotePrefix="0" xfId="0">
      <alignment vertical="top" wrapText="1"/>
    </xf>
    <xf numFmtId="0" fontId="9" fillId="2" borderId="1" applyAlignment="1" pivotButton="0" quotePrefix="0" xfId="0">
      <alignment horizontal="center" vertical="center"/>
    </xf>
    <xf numFmtId="0" fontId="3" fillId="0" borderId="0" applyAlignment="1" pivotButton="0" quotePrefix="0" xfId="0">
      <alignment horizontal="left" vertical="center"/>
    </xf>
    <xf numFmtId="3" fontId="10" fillId="3" borderId="1" applyAlignment="1" pivotButton="0" quotePrefix="0" xfId="0">
      <alignment horizontal="center" vertical="center"/>
    </xf>
    <xf numFmtId="0" fontId="11" fillId="0" borderId="0" pivotButton="0" quotePrefix="0" xfId="0"/>
    <xf numFmtId="3" fontId="12" fillId="4" borderId="1" applyAlignment="1" pivotButton="0" quotePrefix="0" xfId="0">
      <alignment horizontal="center" vertical="center"/>
    </xf>
    <xf numFmtId="164" fontId="12" fillId="4" borderId="1" applyAlignment="1" pivotButton="0" quotePrefix="0" xfId="0">
      <alignment horizontal="center" vertical="center"/>
    </xf>
    <xf numFmtId="165" fontId="10" fillId="3" borderId="1" applyAlignment="1" pivotButton="0" quotePrefix="0" xfId="0">
      <alignment horizontal="center" vertical="center"/>
    </xf>
    <xf numFmtId="2" fontId="10" fillId="3" borderId="1" applyAlignment="1" pivotButton="0" quotePrefix="0" xfId="0">
      <alignment horizontal="center" vertical="center"/>
    </xf>
    <xf numFmtId="9" fontId="10" fillId="3" borderId="1" applyAlignment="1" pivotButton="0" quotePrefix="0" xfId="0">
      <alignment horizontal="center" vertical="center"/>
    </xf>
    <xf numFmtId="10" fontId="10" fillId="3" borderId="1" applyAlignment="1" pivotButton="0" quotePrefix="0" xfId="0">
      <alignment horizontal="center" vertical="center"/>
    </xf>
    <xf numFmtId="1" fontId="10" fillId="3" borderId="1" applyAlignment="1" pivotButton="0" quotePrefix="0" xfId="0">
      <alignment horizontal="center" vertical="center"/>
    </xf>
    <xf numFmtId="9" fontId="12" fillId="4" borderId="1" applyAlignment="1" pivotButton="0" quotePrefix="0" xfId="0">
      <alignment horizontal="center" vertical="center"/>
    </xf>
    <xf numFmtId="3" fontId="3" fillId="0" borderId="1" applyAlignment="1" pivotButton="0" quotePrefix="0" xfId="0">
      <alignment horizontal="center" vertical="center"/>
    </xf>
    <xf numFmtId="165" fontId="3" fillId="0" borderId="1" applyAlignment="1" pivotButton="0" quotePrefix="0" xfId="0">
      <alignment horizontal="center" vertical="center"/>
    </xf>
    <xf numFmtId="10" fontId="3" fillId="0" borderId="1" applyAlignment="1" pivotButton="0" quotePrefix="0" xfId="0">
      <alignment horizontal="center" vertical="center"/>
    </xf>
    <xf numFmtId="1" fontId="3" fillId="0" borderId="1" applyAlignment="1" pivotButton="0" quotePrefix="0" xfId="0">
      <alignment horizontal="center" vertical="center"/>
    </xf>
    <xf numFmtId="166" fontId="12" fillId="4" borderId="1" applyAlignment="1" pivotButton="0" quotePrefix="0" xfId="0">
      <alignment horizontal="center" vertical="center"/>
    </xf>
    <xf numFmtId="1" fontId="13" fillId="4" borderId="1" applyAlignment="1" pivotButton="0" quotePrefix="0" xfId="0">
      <alignment horizontal="center" vertical="center"/>
    </xf>
    <xf numFmtId="1" fontId="12" fillId="4" borderId="1" applyAlignment="1" pivotButton="0" quotePrefix="0" xfId="0">
      <alignment horizontal="center" vertical="center"/>
    </xf>
    <xf numFmtId="10" fontId="12" fillId="4" borderId="1" applyAlignment="1" pivotButton="0" quotePrefix="0" xfId="0">
      <alignment horizontal="center" vertical="center"/>
    </xf>
    <xf numFmtId="167" fontId="12" fillId="4" borderId="1" applyAlignment="1" pivotButton="0" quotePrefix="0" xfId="0">
      <alignment horizontal="center" vertical="center"/>
    </xf>
    <xf numFmtId="2" fontId="3" fillId="0" borderId="1" applyAlignment="1" pivotButton="0" quotePrefix="0" xfId="0">
      <alignment horizontal="center" vertical="center"/>
    </xf>
    <xf numFmtId="2" fontId="12" fillId="4" borderId="1" applyAlignment="1" pivotButton="0" quotePrefix="0" xfId="0">
      <alignment horizontal="center" vertical="center"/>
    </xf>
    <xf numFmtId="168" fontId="10" fillId="3" borderId="1" applyAlignment="1" pivotButton="0" quotePrefix="0" xfId="0">
      <alignment horizontal="center" vertical="center"/>
    </xf>
    <xf numFmtId="169" fontId="12" fillId="4" borderId="1" applyAlignment="1" pivotButton="0" quotePrefix="0" xfId="0">
      <alignment horizontal="center" vertical="center"/>
    </xf>
    <xf numFmtId="9" fontId="3" fillId="0" borderId="1" applyAlignment="1" pivotButton="0" quotePrefix="0" xfId="0">
      <alignment horizontal="center" vertical="center"/>
    </xf>
    <xf numFmtId="168" fontId="12" fillId="4" borderId="1" applyAlignment="1" pivotButton="0" quotePrefix="0" xfId="0">
      <alignment horizontal="center" vertical="center"/>
    </xf>
    <xf numFmtId="165" fontId="12" fillId="4" borderId="1" applyAlignment="1" pivotButton="0" quotePrefix="0" xfId="0">
      <alignment horizontal="center" vertical="center"/>
    </xf>
    <xf numFmtId="1" fontId="14" fillId="0" borderId="1" applyAlignment="1" pivotButton="0" quotePrefix="0" xfId="0">
      <alignment horizontal="center" vertical="center"/>
    </xf>
    <xf numFmtId="0" fontId="14" fillId="0" borderId="1" applyAlignment="1" pivotButton="0" quotePrefix="0" xfId="0">
      <alignment horizontal="center" vertical="center"/>
    </xf>
    <xf numFmtId="1" fontId="15" fillId="0" borderId="1" applyAlignment="1" pivotButton="0" quotePrefix="0" xfId="0">
      <alignment horizontal="center" vertical="center"/>
    </xf>
    <xf numFmtId="0" fontId="15" fillId="0" borderId="1" applyAlignment="1" pivotButton="0" quotePrefix="0" xfId="0">
      <alignment horizontal="center" vertical="center"/>
    </xf>
    <xf numFmtId="1" fontId="6" fillId="4" borderId="1" applyAlignment="1" pivotButton="0" quotePrefix="0" xfId="0">
      <alignment horizontal="center" vertical="center"/>
    </xf>
    <xf numFmtId="0" fontId="0" fillId="0" borderId="4" pivotButton="0" quotePrefix="0" xfId="0"/>
    <xf numFmtId="0" fontId="0" fillId="0" borderId="5" pivotButton="0" quotePrefix="0" xfId="0"/>
    <xf numFmtId="0" fontId="16" fillId="5" borderId="0" pivotButton="0" quotePrefix="0" xfId="0"/>
    <xf numFmtId="0" fontId="17" fillId="0" borderId="0" pivotButton="0" quotePrefix="0" xfId="0"/>
    <xf numFmtId="0" fontId="18" fillId="6" borderId="0" applyAlignment="1" pivotButton="0" quotePrefix="0" xfId="0">
      <alignment horizontal="center"/>
    </xf>
    <xf numFmtId="0" fontId="19" fillId="0" borderId="6" pivotButton="0" quotePrefix="0" xfId="0"/>
    <xf numFmtId="168" fontId="0" fillId="0" borderId="6" applyAlignment="1" pivotButton="0" quotePrefix="0" xfId="0">
      <alignment horizontal="center"/>
    </xf>
    <xf numFmtId="168" fontId="0" fillId="7" borderId="6" applyAlignment="1" pivotButton="0" quotePrefix="0" xfId="0">
      <alignment horizontal="center"/>
    </xf>
    <xf numFmtId="0" fontId="17" fillId="0" borderId="6" pivotButton="0" quotePrefix="0" xfId="0"/>
    <xf numFmtId="0" fontId="2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06060"/>
      <rgbColor rgb="FF969696"/>
      <rgbColor rgb="FF1F3864"/>
      <rgbColor rgb="FF00B050"/>
      <rgbColor rgb="FF003300"/>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6"/>
  <sheetViews>
    <sheetView tabSelected="1" zoomScaleNormal="100" workbookViewId="0">
      <selection activeCell="C35" sqref="C35"/>
    </sheetView>
  </sheetViews>
  <sheetFormatPr baseColWidth="8" defaultColWidth="8.7109375" defaultRowHeight="15"/>
  <cols>
    <col width="4" customWidth="1" min="1" max="1"/>
    <col width="75" customWidth="1" min="2" max="2"/>
    <col width="65" customWidth="1" min="3" max="3"/>
  </cols>
  <sheetData>
    <row r="2" ht="26.25" customHeight="1">
      <c r="B2" s="3" t="inlineStr">
        <is>
          <t>LEVFIN OPTIONS VALUATION MODEL</t>
        </is>
      </c>
    </row>
    <row r="3" ht="17.25" customHeight="1">
      <c r="B3" s="4" t="inlineStr">
        <is>
          <t>Pricing the Embedded Options in Leveraged Loans and High Yield Bonds</t>
        </is>
      </c>
    </row>
    <row r="5" ht="15" customHeight="1">
      <c r="B5" s="5" t="inlineStr">
        <is>
          <t>Federico Etchelecu  ·  May 2026</t>
        </is>
      </c>
    </row>
    <row r="6" ht="15" customHeight="1">
      <c r="B6" s="6" t="inlineStr">
        <is>
          <t>Companion to: The Optionality of Credit Agreements (Treatise)</t>
        </is>
      </c>
    </row>
    <row r="7" ht="15" customHeight="1">
      <c r="B7" s="7" t="inlineStr">
        <is>
          <t>Version 2.2  ·  Recalibrated builder + sensitivity sheet</t>
        </is>
      </c>
    </row>
    <row r="9" ht="17.25" customHeight="1">
      <c r="B9" s="8" t="inlineStr">
        <is>
          <t>MODEL OVERVIEW</t>
        </is>
      </c>
    </row>
    <row r="10" ht="60" customHeight="1">
      <c r="B10" s="9" t="inlineStr">
        <is>
          <t>This workbook implements the options-pricing framework laid out in Chapter 13 of the treatise. Every embedded option class is priced on its own worksheet with live Excel formulas. Default inputs are set to the Grifols credit.</t>
        </is>
      </c>
    </row>
    <row r="13" ht="17.25" customHeight="1">
      <c r="B13" s="8" t="inlineStr">
        <is>
          <t>SHEETS</t>
        </is>
      </c>
    </row>
    <row r="14" ht="15" customHeight="1">
      <c r="B14" s="10" t="inlineStr">
        <is>
          <t>1. Inputs</t>
        </is>
      </c>
      <c r="C14" s="5" t="inlineStr">
        <is>
          <t>Deal-level inputs: enterprise value, debt face, asset vol, EBITDA, rates</t>
        </is>
      </c>
    </row>
    <row r="15" ht="15" customHeight="1">
      <c r="B15" s="10" t="inlineStr">
        <is>
          <t>2. Merton Credit Put</t>
        </is>
      </c>
      <c r="C15" s="5" t="inlineStr">
        <is>
          <t>Merton (1974) structural model; implied credit spread</t>
        </is>
      </c>
    </row>
    <row r="16" ht="15" customHeight="1">
      <c r="B16" s="10" t="inlineStr">
        <is>
          <t>3. Call Schedule (HY)</t>
        </is>
      </c>
      <c r="C16" s="5" t="inlineStr">
        <is>
          <t>Make-whole and fixed call schedule for a HY bond</t>
        </is>
      </c>
    </row>
    <row r="17" ht="15" customHeight="1">
      <c r="B17" s="10" t="inlineStr">
        <is>
          <t>4. Debt Incurrence</t>
        </is>
      </c>
      <c r="C17" s="5" t="inlineStr">
        <is>
          <t>Free-and-clear, ratio-based incremental, MFN</t>
        </is>
      </c>
    </row>
    <row r="18" ht="15" customHeight="1">
      <c r="B18" s="10" t="inlineStr">
        <is>
          <t>5. Restricted Payments</t>
        </is>
      </c>
      <c r="C18" s="5" t="inlineStr">
        <is>
          <t>Starter, leverage-based RP, builder basket</t>
        </is>
      </c>
    </row>
    <row r="19" ht="15" customHeight="1">
      <c r="B19" s="10" t="inlineStr">
        <is>
          <t>6. Asset Sale Bundle</t>
        </is>
      </c>
      <c r="C19" s="5" t="inlineStr">
        <is>
          <t>Reinvestment right and leverage-based step-downs</t>
        </is>
      </c>
    </row>
    <row r="20" ht="15" customHeight="1">
      <c r="B20" s="10" t="inlineStr">
        <is>
          <t>7. CoC &amp; Portability</t>
        </is>
      </c>
      <c r="C20" s="5" t="inlineStr">
        <is>
          <t>Change-of-control put, portability, disguised portability</t>
        </is>
      </c>
    </row>
    <row r="21" ht="15" customHeight="1">
      <c r="B21" s="10" t="inlineStr">
        <is>
          <t>8. Equity Cure</t>
        </is>
      </c>
      <c r="C21" s="5" t="inlineStr">
        <is>
          <t>Bermudan put on quarterly EBITDA tests</t>
        </is>
      </c>
    </row>
    <row r="22" ht="15" customHeight="1">
      <c r="B22" s="10" t="inlineStr">
        <is>
          <t>9. Springing Cov + MFN</t>
        </is>
      </c>
      <c r="C22" s="5" t="inlineStr">
        <is>
          <t>Knock-in barrier on RCF utilization; MFN lookback</t>
        </is>
      </c>
    </row>
    <row r="23" ht="15" customHeight="1">
      <c r="B23" s="10" t="inlineStr">
        <is>
          <t>10. LME Bundle</t>
        </is>
      </c>
      <c r="C23" s="5" t="inlineStr">
        <is>
          <t>Anti-Serta and anti-J.Crew protection value</t>
        </is>
      </c>
    </row>
    <row r="24" ht="15" customHeight="1">
      <c r="B24" s="10" t="inlineStr">
        <is>
          <t>11. Master Summary</t>
        </is>
      </c>
      <c r="C24" s="5" t="inlineStr">
        <is>
          <t>All options aggregated; fair spread vs. market spread</t>
        </is>
      </c>
    </row>
    <row r="25">
      <c r="B25" t="inlineStr">
        <is>
          <t>12. Sensitivity</t>
        </is>
      </c>
      <c r="C25" t="inlineStr">
        <is>
          <t>One-way tornado: total optionality vs flexed inputs</t>
        </is>
      </c>
    </row>
    <row r="27" ht="17.25" customHeight="1">
      <c r="B27" s="8" t="inlineStr">
        <is>
          <t>CALIBRATION NOTES (v2)</t>
        </is>
      </c>
    </row>
    <row r="28" ht="15" customHeight="1">
      <c r="B28" s="11" t="inlineStr">
        <is>
          <t>• Basket value → spread cost: scaled by issue size + duration, not divided by tenor.</t>
        </is>
      </c>
    </row>
    <row r="29" ht="15" customHeight="1">
      <c r="B29" s="11" t="inlineStr">
        <is>
          <t>• All 'short to lender' values are negative; 'long to lender' protections positive.</t>
        </is>
      </c>
    </row>
    <row r="30" ht="15" customHeight="1">
      <c r="B30" s="11" t="inlineStr">
        <is>
          <t>• MAX(0, ...) clamps applied to prevent negative-headroom inversion.</t>
        </is>
      </c>
    </row>
    <row r="31" ht="15" customHeight="1">
      <c r="B31" s="11" t="inlineStr">
        <is>
          <t>• Equity cure recovery improvement set to 10% (was 20%) — more realistic.</t>
        </is>
      </c>
    </row>
    <row r="32" ht="15" customHeight="1">
      <c r="B32" s="11" t="inlineStr">
        <is>
          <t>• Builder basket scaled by Asian-damping × exercise probability × marginal spread.</t>
        </is>
      </c>
    </row>
    <row r="33" ht="15" customHeight="1">
      <c r="B33" s="11" t="inlineStr">
        <is>
          <t>• Default inputs are set to the Grifols credit; outputs are directional only.</t>
        </is>
      </c>
    </row>
    <row r="35" ht="17.25" customHeight="1">
      <c r="B35" s="8" t="inlineStr">
        <is>
          <t>WORKED EXAMPLE</t>
        </is>
      </c>
    </row>
    <row r="36" ht="60" customHeight="1">
      <c r="B36" s="12" t="inlineStr">
        <is>
          <t>This workbook is a parametric companion: its closed-form and binomial estimates are directional and price a wider option set than the Monte Carlo decomposition. Grifols_Model_v8.xlsx is the source of record for the Grifols figures — see Chapter 18.</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D37"/>
  <sheetViews>
    <sheetView zoomScaleNormal="100" workbookViewId="0">
      <selection activeCell="A1" sqref="A1"/>
    </sheetView>
  </sheetViews>
  <sheetFormatPr baseColWidth="8" defaultColWidth="8.7109375" defaultRowHeight="15"/>
  <cols>
    <col width="4" customWidth="1" min="1" max="1"/>
    <col width="42" customWidth="1" min="2" max="2"/>
    <col width="16" customWidth="1" min="3" max="3"/>
    <col width="36" customWidth="1" min="4" max="4"/>
  </cols>
  <sheetData>
    <row r="1" ht="17.25" customHeight="1">
      <c r="B1" s="2" t="inlineStr">
        <is>
          <t>DEAL INPUTS — drives all downstream sheets</t>
        </is>
      </c>
    </row>
    <row r="3" ht="15" customHeight="1">
      <c r="B3" s="13" t="inlineStr">
        <is>
          <t>ENTERPRISE &amp; CAPITAL STRUCTURE</t>
        </is>
      </c>
      <c r="C3" s="46" t="n"/>
      <c r="D3" s="47" t="n"/>
    </row>
    <row r="4" ht="15" customHeight="1">
      <c r="B4" s="14" t="inlineStr">
        <is>
          <t>Enterprise Value V_0 (EUR m)</t>
        </is>
      </c>
      <c r="C4" s="15" t="n">
        <v>18194</v>
      </c>
      <c r="D4" s="16" t="inlineStr">
        <is>
          <t>Grifols — mean enterprise value, integrated model</t>
        </is>
      </c>
    </row>
    <row r="5" ht="15" customHeight="1">
      <c r="B5" s="14" t="inlineStr">
        <is>
          <t>Super-Senior RCF face (EUR m)</t>
        </is>
      </c>
      <c r="C5" s="15" t="n">
        <v>1000</v>
      </c>
    </row>
    <row r="6" ht="15" customHeight="1">
      <c r="B6" s="14" t="inlineStr">
        <is>
          <t>First-Lien TLB face (EUR m)</t>
        </is>
      </c>
      <c r="C6" s="15" t="n">
        <v>6180</v>
      </c>
    </row>
    <row r="7" ht="15" customHeight="1">
      <c r="B7" s="14" t="inlineStr">
        <is>
          <t>HY SSN bonds face (EUR m)</t>
        </is>
      </c>
      <c r="C7" s="15" t="n">
        <v>1386</v>
      </c>
    </row>
    <row r="8" ht="15" customHeight="1">
      <c r="B8" s="14" t="inlineStr">
        <is>
          <t>Total Debt</t>
        </is>
      </c>
      <c r="C8" s="17">
        <f>SUM(C5:C7)</f>
        <v>8566.0</v>
      </c>
    </row>
    <row r="9" ht="15" customHeight="1">
      <c r="B9" s="14" t="inlineStr">
        <is>
          <t>LTM EBITDA (EUR m)</t>
        </is>
      </c>
      <c r="C9" s="15" t="n">
        <v>1693</v>
      </c>
      <c r="D9" t="inlineStr">
        <is>
          <t>FY2025A reported (per Grifols_Model_v8); was 1687</t>
        </is>
      </c>
    </row>
    <row r="10" ht="15" customHeight="1">
      <c r="B10" s="14" t="inlineStr">
        <is>
          <t>Opening leverage (drawn; RCF undrawn)</t>
        </is>
      </c>
      <c r="C10" s="18">
        <f>(C6+C7)/C9</f>
        <v>4.468989958653278</v>
      </c>
      <c r="D10" s="16" t="inlineStr">
        <is>
          <t>RCF undrawn at close, excluded from drawn leverage; Grifols credit at ~4.8x</t>
        </is>
      </c>
    </row>
    <row r="12" ht="15" customHeight="1">
      <c r="B12" s="13" t="inlineStr">
        <is>
          <t>VOLATILITY &amp; DEFAULT PARAMETERS</t>
        </is>
      </c>
      <c r="C12" s="46" t="n"/>
      <c r="D12" s="47" t="n"/>
    </row>
    <row r="13" ht="15" customHeight="1">
      <c r="B13" s="14" t="inlineStr">
        <is>
          <t>Asset volatility σ_V</t>
        </is>
      </c>
      <c r="C13" s="19" t="n">
        <v>0.08</v>
      </c>
      <c r="D13" s="16" t="inlineStr">
        <is>
          <t>From sector benchmarks / equity vol deflation</t>
        </is>
      </c>
    </row>
    <row r="14" ht="15" customHeight="1">
      <c r="B14" s="14" t="inlineStr">
        <is>
          <t>EBITDA volatility σ_EBITDA</t>
        </is>
      </c>
      <c r="C14" s="19" t="n">
        <v>0.08</v>
      </c>
    </row>
    <row r="15" ht="15" customHeight="1">
      <c r="B15" s="14" t="inlineStr">
        <is>
          <t>EBITDA mean-reversion κ</t>
        </is>
      </c>
      <c r="C15" s="20" t="n">
        <v>0.4</v>
      </c>
    </row>
    <row r="16" ht="15" customHeight="1">
      <c r="B16" s="14" t="inlineStr">
        <is>
          <t>Default hazard rate λ_default</t>
        </is>
      </c>
      <c r="C16" s="19" t="n">
        <v>0.05</v>
      </c>
    </row>
    <row r="17" ht="15" customHeight="1">
      <c r="B17" s="14" t="inlineStr">
        <is>
          <t>Recovery rate (1st-lien)</t>
        </is>
      </c>
      <c r="C17" s="21" t="n">
        <v>0.65</v>
      </c>
    </row>
    <row r="19" ht="15" customHeight="1">
      <c r="B19" s="13" t="inlineStr">
        <is>
          <t>RATES &amp; TIMING</t>
        </is>
      </c>
      <c r="C19" s="46" t="n"/>
      <c r="D19" s="47" t="n"/>
    </row>
    <row r="20" ht="15" customHeight="1">
      <c r="B20" s="14" t="inlineStr">
        <is>
          <t>Risk-free rate (SOFR/€STR)</t>
        </is>
      </c>
      <c r="C20" s="22" t="n">
        <v>0.045</v>
      </c>
    </row>
    <row r="21" ht="15" customHeight="1">
      <c r="B21" s="14" t="inlineStr">
        <is>
          <t>Tenor (years)</t>
        </is>
      </c>
      <c r="C21" s="23" t="n">
        <v>5</v>
      </c>
    </row>
    <row r="22" ht="15" customHeight="1">
      <c r="B22" s="14" t="inlineStr">
        <is>
          <t>Market spread on TLB (bps)</t>
        </is>
      </c>
      <c r="C22" s="23" t="n">
        <v>248</v>
      </c>
    </row>
    <row r="23" ht="15" customHeight="1">
      <c r="B23" s="14" t="inlineStr">
        <is>
          <t>Market coupon on HY</t>
        </is>
      </c>
      <c r="C23" s="22" t="n">
        <v>0.054</v>
      </c>
    </row>
    <row r="25" ht="15" customHeight="1">
      <c r="B25" s="13" t="inlineStr">
        <is>
          <t>EVENT HAZARDS</t>
        </is>
      </c>
      <c r="C25" s="46" t="n"/>
      <c r="D25" s="47" t="n"/>
    </row>
    <row r="26" ht="15" customHeight="1">
      <c r="B26" s="14" t="inlineStr">
        <is>
          <t>CoC hazard λ_CoC (annual)</t>
        </is>
      </c>
      <c r="C26" s="19" t="n">
        <v>0.18</v>
      </c>
    </row>
    <row r="27" ht="15" customHeight="1">
      <c r="B27" s="14" t="inlineStr">
        <is>
          <t>IPO hazard λ_IPO (annual)</t>
        </is>
      </c>
      <c r="C27" s="19" t="n">
        <v>0.04</v>
      </c>
    </row>
    <row r="28" ht="15" customHeight="1">
      <c r="B28" s="14" t="inlineStr">
        <is>
          <t>Permitted Holders dilution</t>
        </is>
      </c>
      <c r="C28" s="21" t="n">
        <v>0.4</v>
      </c>
      <c r="D28" s="16" t="inlineStr">
        <is>
          <t>Share of buyers covered by Permitted Holders def</t>
        </is>
      </c>
    </row>
    <row r="30" ht="15" customHeight="1">
      <c r="B30" s="13" t="inlineStr">
        <is>
          <t>DERIVED — sanity checks</t>
        </is>
      </c>
      <c r="C30" s="46" t="n"/>
      <c r="D30" s="47" t="n"/>
    </row>
    <row r="31" ht="15" customHeight="1">
      <c r="B31" s="14" t="inlineStr">
        <is>
          <t>Total leverage</t>
        </is>
      </c>
      <c r="C31" s="18">
        <f>C10</f>
        <v>4.468989958653278</v>
      </c>
    </row>
    <row r="32" ht="15" customHeight="1">
      <c r="B32" s="14" t="inlineStr">
        <is>
          <t>First-lien leverage (RCF+TLB)/EBITDA</t>
        </is>
      </c>
      <c r="C32" s="18">
        <f>(C5+C6)/C9</f>
        <v>4.240992321323095</v>
      </c>
    </row>
    <row r="33" ht="15" customHeight="1">
      <c r="B33" s="14" t="inlineStr">
        <is>
          <t>LTV (Debt / EV)</t>
        </is>
      </c>
      <c r="C33" s="24">
        <f>C8/C4</f>
        <v>0.4708145542486534</v>
      </c>
    </row>
    <row r="35">
      <c r="B35" t="inlineStr">
        <is>
          <t>BPS CONVENTION (v2.1)</t>
        </is>
      </c>
    </row>
    <row r="36">
      <c r="B36" t="inlineStr">
        <is>
          <t>All option costs/gains are quoted as annualised running bps over (Total Debt × Tenor).</t>
        </is>
      </c>
    </row>
    <row r="37">
      <c r="B37" t="inlineStr">
        <is>
          <t>HY-only options (calls, CoC, portability) computed on HY base; Master Summary face-weights them to deal level.</t>
        </is>
      </c>
    </row>
  </sheetData>
  <mergeCells count="6">
    <mergeCell ref="B3:D3"/>
    <mergeCell ref="B19:D19"/>
    <mergeCell ref="B1:D1"/>
    <mergeCell ref="B30:D30"/>
    <mergeCell ref="B12:D12"/>
    <mergeCell ref="B25:D25"/>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D33"/>
  <sheetViews>
    <sheetView zoomScaleNormal="100" workbookViewId="0">
      <selection activeCell="A1" sqref="A1"/>
    </sheetView>
  </sheetViews>
  <sheetFormatPr baseColWidth="8" defaultColWidth="8.7109375" defaultRowHeight="15"/>
  <cols>
    <col width="4" customWidth="1" min="1" max="1"/>
    <col width="55" customWidth="1" min="2" max="2"/>
    <col width="18" customWidth="1" min="3" max="3"/>
  </cols>
  <sheetData>
    <row r="1" ht="17.25" customHeight="1">
      <c r="B1" s="2" t="inlineStr">
        <is>
          <t>MERTON STRUCTURAL CREDIT-RISK PUT</t>
        </is>
      </c>
    </row>
    <row r="2" ht="15" customHeight="1">
      <c r="B2" s="16" t="inlineStr">
        <is>
          <t>Equity as a call on enterprise value; debt as bond minus put.</t>
        </is>
      </c>
    </row>
    <row r="4" ht="15" customHeight="1">
      <c r="B4" s="13" t="inlineStr">
        <is>
          <t>MODEL INPUTS</t>
        </is>
      </c>
      <c r="C4" s="47" t="n"/>
    </row>
    <row r="5" ht="15" customHeight="1">
      <c r="B5" s="14" t="inlineStr">
        <is>
          <t>Enterprise Value V_0 (EUR m)</t>
        </is>
      </c>
      <c r="C5" s="25">
        <f>Inputs!C4</f>
        <v>18194.0</v>
      </c>
    </row>
    <row r="6" ht="15" customHeight="1">
      <c r="B6" s="14" t="inlineStr">
        <is>
          <t>Total Debt face F (EUR m)</t>
        </is>
      </c>
      <c r="C6" s="25">
        <f>Inputs!C8</f>
        <v>8566.0</v>
      </c>
    </row>
    <row r="7" ht="15" customHeight="1">
      <c r="B7" s="14" t="inlineStr">
        <is>
          <t>Asset volatility σ_V</t>
        </is>
      </c>
      <c r="C7" s="26">
        <f>Inputs!C13</f>
        <v>0.08</v>
      </c>
    </row>
    <row r="8" ht="15" customHeight="1">
      <c r="B8" s="14" t="inlineStr">
        <is>
          <t>Risk-free rate r</t>
        </is>
      </c>
      <c r="C8" s="27">
        <f>Inputs!C20</f>
        <v>0.045</v>
      </c>
    </row>
    <row r="9" ht="15" customHeight="1">
      <c r="B9" s="14" t="inlineStr">
        <is>
          <t>Tenor T (years)</t>
        </is>
      </c>
      <c r="C9" s="28">
        <f>Inputs!C21</f>
        <v>5.0</v>
      </c>
    </row>
    <row r="11" ht="15" customHeight="1">
      <c r="B11" s="13" t="inlineStr">
        <is>
          <t>BLACK-SCHOLES COMPUTATIONS</t>
        </is>
      </c>
      <c r="C11" s="47" t="n"/>
    </row>
    <row r="12" ht="15" customHeight="1">
      <c r="B12" s="14" t="inlineStr">
        <is>
          <t>d1 = [ln(V/F) + (r + σ²/2)T] / (σ√T)</t>
        </is>
      </c>
      <c r="C12" s="29">
        <f>(LN(C5/C6)+(C8+C7^2/2)*C9)/(C7*SQRT(C9))</f>
        <v>5.5582556087943455</v>
      </c>
    </row>
    <row r="13" ht="15" customHeight="1">
      <c r="B13" s="14" t="inlineStr">
        <is>
          <t>d2 = d1 - σ√T</t>
        </is>
      </c>
      <c r="C13" s="29">
        <f>C12-C7*SQRT(C9)</f>
        <v>5.379370170594362</v>
      </c>
    </row>
    <row r="14" ht="15" customHeight="1">
      <c r="B14" s="14" t="inlineStr">
        <is>
          <t>N(d1)</t>
        </is>
      </c>
      <c r="C14" s="29">
        <f>NORMSDIST(C12)</f>
        <v>0.9999999863757927</v>
      </c>
    </row>
    <row r="15" ht="15" customHeight="1">
      <c r="B15" s="14" t="inlineStr">
        <is>
          <t>N(d2)</t>
        </is>
      </c>
      <c r="C15" s="29">
        <f>NORMSDIST(C13)</f>
        <v>0.9999999626265621</v>
      </c>
    </row>
    <row r="16" ht="15" customHeight="1">
      <c r="B16" s="14" t="inlineStr">
        <is>
          <t>N(-d1)</t>
        </is>
      </c>
      <c r="C16" s="29">
        <f>NORMSDIST(-C12)</f>
        <v>1.3624207317874948e-08</v>
      </c>
    </row>
    <row r="17" ht="15" customHeight="1">
      <c r="B17" s="14" t="inlineStr">
        <is>
          <t>N(-d2)</t>
        </is>
      </c>
      <c r="C17" s="29">
        <f>NORMSDIST(-C13)</f>
        <v>3.73734379555124e-08</v>
      </c>
    </row>
    <row r="19" ht="15" customHeight="1">
      <c r="B19" s="13" t="inlineStr">
        <is>
          <t>RESULTS</t>
        </is>
      </c>
      <c r="C19" s="47" t="n"/>
    </row>
    <row r="20" ht="15" customHeight="1">
      <c r="B20" s="14" t="inlineStr">
        <is>
          <t>Equity value = V·N(d1) - F·exp(-rT)·N(d2)</t>
        </is>
      </c>
      <c r="C20" s="17">
        <f>C5*C14-C6*EXP(-C8*C9)*C15</f>
        <v>11353.910077866025</v>
      </c>
    </row>
    <row r="21" ht="15" customHeight="1">
      <c r="B21" s="14" t="inlineStr">
        <is>
          <t>Risk-free debt PV = F·exp(-rT)</t>
        </is>
      </c>
      <c r="C21" s="17">
        <f>C6*EXP(-C8*C9)</f>
        <v>6840.089929892824</v>
      </c>
    </row>
    <row r="22" ht="15" customHeight="1">
      <c r="B22" s="14" t="inlineStr">
        <is>
          <t>Credit-risk put = F·exp(-rT)·N(-d2) - V·N(-d1)</t>
        </is>
      </c>
      <c r="C22" s="17">
        <f>C21*C17-C5*C16</f>
        <v>7.758848663557848e-06</v>
      </c>
    </row>
    <row r="23" ht="15" customHeight="1">
      <c r="B23" s="14" t="inlineStr">
        <is>
          <t>Risky debt value = risk-free PV - put</t>
        </is>
      </c>
      <c r="C23" s="17">
        <f>C21-C22</f>
        <v>6840.089922133976</v>
      </c>
    </row>
    <row r="25" ht="15" customHeight="1">
      <c r="B25" s="14" t="inlineStr">
        <is>
          <t>Merton-implied credit spread (bps)</t>
        </is>
      </c>
      <c r="C25" s="30">
        <f>(-LN(C23/C6)/C9-C8)*10000</f>
        <v>2.268639096025815e-06</v>
      </c>
    </row>
    <row r="26" ht="15" customHeight="1">
      <c r="B26" s="14" t="inlineStr">
        <is>
          <t>Adjusted for jumps &amp; early-default (+factor)</t>
        </is>
      </c>
      <c r="C26" s="20" t="n">
        <v>2.1</v>
      </c>
      <c r="D26" s="16" t="inlineStr">
        <is>
          <t>Vanilla Merton underprices B credits (ignores jumps + early default). 1.5-2.5x typical; 2.1 calibrated to the Ch.15 worked example.</t>
        </is>
      </c>
    </row>
    <row r="27" ht="15" customHeight="1">
      <c r="B27" s="14" t="inlineStr">
        <is>
          <t>Adjusted Merton spread (bps)</t>
        </is>
      </c>
      <c r="C27" s="31">
        <f>C25*C26</f>
        <v>4.764142101654212e-06</v>
      </c>
    </row>
    <row r="28" ht="15" customHeight="1">
      <c r="B28" s="14" t="inlineStr">
        <is>
          <t>Market TLB spread (bps)</t>
        </is>
      </c>
      <c r="C28" s="28">
        <f>Inputs!C22</f>
        <v>248.0</v>
      </c>
    </row>
    <row r="29" ht="15" customHeight="1">
      <c r="B29" s="14" t="inlineStr">
        <is>
          <t>Credit-risk component (Merton, bps)</t>
        </is>
      </c>
      <c r="C29" s="31">
        <f>C27</f>
        <v>4.764142101654212e-06</v>
      </c>
    </row>
    <row r="31" ht="15" customHeight="1">
      <c r="B31" s="16" t="inlineStr">
        <is>
          <t>Note: vanilla Merton underprices B-rated credits because it ignores jumps</t>
        </is>
      </c>
    </row>
    <row r="32" ht="15" customHeight="1">
      <c r="B32" s="16" t="inlineStr">
        <is>
          <t>and the Black-Cox early-default barrier. Adjustment factor of ~1.8 calibrates</t>
        </is>
      </c>
    </row>
    <row r="33" ht="15" customHeight="1">
      <c r="B33" s="16" t="inlineStr">
        <is>
          <t>to typical B2/B observed spreads. Reduce to 1.0 to see pure Merton.</t>
        </is>
      </c>
    </row>
  </sheetData>
  <mergeCells count="4">
    <mergeCell ref="B11:C11"/>
    <mergeCell ref="B1:C1"/>
    <mergeCell ref="B19:C19"/>
    <mergeCell ref="B4:C4"/>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1:D26"/>
  <sheetViews>
    <sheetView zoomScaleNormal="100" workbookViewId="0">
      <selection activeCell="A1" sqref="A1"/>
    </sheetView>
  </sheetViews>
  <sheetFormatPr baseColWidth="8" defaultColWidth="8.7109375" defaultRowHeight="15"/>
  <cols>
    <col width="4" customWidth="1" min="1" max="1"/>
    <col width="40" customWidth="1" min="2" max="2"/>
    <col width="15" customWidth="1" min="3" max="5"/>
  </cols>
  <sheetData>
    <row r="1" ht="17.25" customHeight="1">
      <c r="B1" s="2" t="inlineStr">
        <is>
          <t>HY BOND CALL SCHEDULE</t>
        </is>
      </c>
    </row>
    <row r="3" ht="15" customHeight="1">
      <c r="B3" s="13" t="inlineStr">
        <is>
          <t>INPUTS</t>
        </is>
      </c>
      <c r="C3" s="47" t="n"/>
    </row>
    <row r="4" ht="15" customHeight="1">
      <c r="B4" s="14" t="inlineStr">
        <is>
          <t>Bond face (EUR m)</t>
        </is>
      </c>
      <c r="C4" s="25">
        <f>Inputs!C7</f>
        <v>1386.0</v>
      </c>
    </row>
    <row r="5" ht="15" customHeight="1">
      <c r="B5" s="14" t="inlineStr">
        <is>
          <t>Coupon</t>
        </is>
      </c>
      <c r="C5" s="27">
        <f>Inputs!C23</f>
        <v>0.054</v>
      </c>
    </row>
    <row r="6" ht="15" customHeight="1">
      <c r="B6" s="14" t="inlineStr">
        <is>
          <t>Tenor</t>
        </is>
      </c>
      <c r="C6" s="28">
        <f>Inputs!C21</f>
        <v>5.0</v>
      </c>
    </row>
    <row r="7" ht="15" customHeight="1">
      <c r="B7" s="14" t="inlineStr">
        <is>
          <t>Non-call period</t>
        </is>
      </c>
      <c r="C7" s="23" t="n">
        <v>3</v>
      </c>
    </row>
    <row r="8" ht="15" customHeight="1">
      <c r="B8" s="14" t="inlineStr">
        <is>
          <t>Make-whole spread over T (bps)</t>
        </is>
      </c>
      <c r="C8" s="23" t="n">
        <v>50</v>
      </c>
    </row>
    <row r="9" ht="15" customHeight="1">
      <c r="B9" s="14" t="inlineStr">
        <is>
          <t>Issuer credit spread (bps)</t>
        </is>
      </c>
      <c r="C9" s="23" t="n">
        <v>350</v>
      </c>
    </row>
    <row r="11" ht="15" customHeight="1">
      <c r="B11" s="13" t="inlineStr">
        <is>
          <t>FIXED CALL SCHEDULE</t>
        </is>
      </c>
      <c r="C11" s="47" t="n"/>
    </row>
    <row r="12" ht="15" customHeight="1">
      <c r="B12" s="14" t="inlineStr">
        <is>
          <t>Year 4 call price</t>
        </is>
      </c>
      <c r="C12" s="22" t="n">
        <v>1.05</v>
      </c>
    </row>
    <row r="13" ht="15" customHeight="1">
      <c r="B13" s="14" t="inlineStr">
        <is>
          <t>Year 5 call price</t>
        </is>
      </c>
      <c r="C13" s="22" t="n">
        <v>1.025</v>
      </c>
    </row>
    <row r="14" ht="15" customHeight="1">
      <c r="B14" s="14" t="inlineStr">
        <is>
          <t>Year 6 call price</t>
        </is>
      </c>
      <c r="C14" s="22" t="n">
        <v>1.0125</v>
      </c>
    </row>
    <row r="15" ht="15" customHeight="1">
      <c r="B15" s="14" t="inlineStr">
        <is>
          <t>Year 7 call price</t>
        </is>
      </c>
      <c r="C15" s="22" t="n">
        <v>1</v>
      </c>
    </row>
    <row r="17" ht="15" customHeight="1">
      <c r="B17" s="13" t="inlineStr">
        <is>
          <t>RESULTS</t>
        </is>
      </c>
      <c r="C17" s="47" t="n"/>
    </row>
    <row r="18" ht="15" customHeight="1">
      <c r="B18" s="14" t="inlineStr">
        <is>
          <t>Prob. of exercise (4-7y window)</t>
        </is>
      </c>
      <c r="C18" s="24">
        <f>1-EXP(-Inputs!C16*4)</f>
        <v>0.18126924692201818</v>
      </c>
    </row>
    <row r="19" ht="15" customHeight="1">
      <c r="B19" s="14" t="inlineStr">
        <is>
          <t>Avg call premium (weighted)</t>
        </is>
      </c>
      <c r="C19" s="32">
        <f>AVERAGE(C12:C15)-1</f>
        <v>0.02187500000000009</v>
      </c>
    </row>
    <row r="20" ht="15" customHeight="1">
      <c r="B20" s="14" t="inlineStr">
        <is>
          <t>Fixed-call lender loss (bps)</t>
        </is>
      </c>
      <c r="C20" s="31">
        <f>-C18*C19*10000/Inputs!C21</f>
        <v>-7.930529552838328</v>
      </c>
    </row>
    <row r="22" ht="15" customHeight="1">
      <c r="B22" s="14" t="inlineStr">
        <is>
          <t>Make-whole discount rate (T + spread)</t>
        </is>
      </c>
      <c r="C22" s="32">
        <f>Inputs!C20+C8/10000</f>
        <v>0.049999999999999996</v>
      </c>
    </row>
    <row r="23" ht="15" customHeight="1">
      <c r="B23" s="14" t="inlineStr">
        <is>
          <t>Bond YTM (R + issuer spread)</t>
        </is>
      </c>
      <c r="C23" s="32">
        <f>Inputs!C20+C9/10000</f>
        <v>0.08</v>
      </c>
    </row>
    <row r="24" ht="15" customHeight="1">
      <c r="B24" s="14" t="inlineStr">
        <is>
          <t>MW prob. of exercise during NC</t>
        </is>
      </c>
      <c r="C24" s="21" t="n">
        <v>0.35</v>
      </c>
    </row>
    <row r="25" ht="15" customHeight="1">
      <c r="B25" s="14" t="inlineStr">
        <is>
          <t>Make-whole option value (bps spread)</t>
        </is>
      </c>
      <c r="C25" s="31">
        <f>-MAX(0,C23-C22)*10000*C24*0.5</f>
        <v>-52.50000000000001</v>
      </c>
    </row>
    <row r="26" ht="15" customHeight="1">
      <c r="B26" s="16" t="inlineStr">
        <is>
          <t>Note: MW value capped at ~half the spread differential × exercise prob</t>
        </is>
      </c>
    </row>
  </sheetData>
  <mergeCells count="4">
    <mergeCell ref="B11:C11"/>
    <mergeCell ref="B3:C3"/>
    <mergeCell ref="B1:D1"/>
    <mergeCell ref="B17:C17"/>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1:C28"/>
  <sheetViews>
    <sheetView zoomScaleNormal="100" workbookViewId="0">
      <selection activeCell="A1" sqref="A1"/>
    </sheetView>
  </sheetViews>
  <sheetFormatPr baseColWidth="8" defaultColWidth="8.7109375" defaultRowHeight="15"/>
  <cols>
    <col width="4" customWidth="1" min="1" max="1"/>
    <col width="42" customWidth="1" min="2" max="2"/>
    <col width="16" customWidth="1" min="3" max="3"/>
  </cols>
  <sheetData>
    <row r="1" ht="17.25" customHeight="1">
      <c r="B1" s="2" t="inlineStr">
        <is>
          <t>DEBT-INCURRENCE OPTIONS</t>
        </is>
      </c>
    </row>
    <row r="3" ht="15" customHeight="1">
      <c r="B3" s="13" t="inlineStr">
        <is>
          <t>FREE-AND-CLEAR BASKET (American call)</t>
        </is>
      </c>
      <c r="C3" s="47" t="n"/>
    </row>
    <row r="4" ht="15" customHeight="1">
      <c r="B4" s="14" t="inlineStr">
        <is>
          <t>Basket size (EUR m)</t>
        </is>
      </c>
      <c r="C4" s="15" t="n">
        <v>175</v>
      </c>
    </row>
    <row r="5" ht="15" customHeight="1">
      <c r="B5" s="14" t="inlineStr">
        <is>
          <t>Marginal cost-of-debt spread above current (bps)</t>
        </is>
      </c>
      <c r="C5" s="23" t="n">
        <v>100</v>
      </c>
    </row>
    <row r="6" ht="15" customHeight="1">
      <c r="B6" s="14" t="inlineStr">
        <is>
          <t>Tenor of new debt</t>
        </is>
      </c>
      <c r="C6" s="23" t="n">
        <v>5</v>
      </c>
    </row>
    <row r="7" ht="15" customHeight="1">
      <c r="B7" s="14" t="inlineStr">
        <is>
          <t>Probability of exercise within tenor</t>
        </is>
      </c>
      <c r="C7" s="21" t="n">
        <v>0.55</v>
      </c>
    </row>
    <row r="8" ht="15" customHeight="1">
      <c r="B8" s="14" t="inlineStr">
        <is>
          <t>Value to borrower (EUR m)</t>
        </is>
      </c>
      <c r="C8" s="33">
        <f>C4*C5/10000*C6*C7</f>
        <v>4.8125</v>
      </c>
    </row>
    <row r="9" ht="15" customHeight="1">
      <c r="B9" s="14" t="inlineStr">
        <is>
          <t>Spread cost to lender (bps)</t>
        </is>
      </c>
      <c r="C9" s="31">
        <f>-C8*10000/Inputs!C8/Inputs!C21</f>
        <v>-1.1236282979220173</v>
      </c>
    </row>
    <row r="10" ht="15" customHeight="1">
      <c r="B10" s="16" t="inlineStr">
        <is>
          <t>Annualised over full tenor on total debt face (v2.1 convention)</t>
        </is>
      </c>
    </row>
    <row r="12" ht="15" customHeight="1">
      <c r="B12" s="13" t="inlineStr">
        <is>
          <t>RATIO-BASED INCREMENTAL</t>
        </is>
      </c>
      <c r="C12" s="47" t="n"/>
    </row>
    <row r="13" ht="15" customHeight="1">
      <c r="B13" s="14" t="inlineStr">
        <is>
          <t>Leverage incurrence ceiling (x)</t>
        </is>
      </c>
      <c r="C13" s="20" t="n">
        <v>6</v>
      </c>
    </row>
    <row r="14" ht="15" customHeight="1">
      <c r="B14" s="14" t="inlineStr">
        <is>
          <t>Current leverage</t>
        </is>
      </c>
      <c r="C14" s="34">
        <f>Inputs!C10</f>
        <v>4.468989958653278</v>
      </c>
    </row>
    <row r="15" ht="15" customHeight="1">
      <c r="B15" s="14" t="inlineStr">
        <is>
          <t>Leverage headroom (turns)</t>
        </is>
      </c>
      <c r="C15" s="35">
        <f>MAX(0,C13-C14)</f>
        <v>1.5310100413467218</v>
      </c>
    </row>
    <row r="16" ht="15" customHeight="1">
      <c r="B16" s="14" t="inlineStr">
        <is>
          <t>EBITDA volatility</t>
        </is>
      </c>
      <c r="C16" s="26">
        <f>Inputs!C14</f>
        <v>0.08</v>
      </c>
    </row>
    <row r="17" ht="15" customHeight="1">
      <c r="B17" s="14" t="inlineStr">
        <is>
          <t>Prob. of usable headroom over tenor</t>
        </is>
      </c>
      <c r="C17" s="24">
        <f>IF(C15&gt;0,NORMSDIST(C15/(C16*SQRT(Inputs!C21))),NORMSDIST(-ABS(C15)/(C16*SQRT(Inputs!C21))))</f>
        <v>1.0</v>
      </c>
    </row>
    <row r="18" ht="15" customHeight="1">
      <c r="B18" s="14" t="inlineStr">
        <is>
          <t>Max incremental debt at ceiling (EUR m)</t>
        </is>
      </c>
      <c r="C18" s="17">
        <f>MAX(0,C15)*Inputs!C9+IF(C15&lt;=0,Inputs!C9*0.5,0)</f>
        <v>2592.0</v>
      </c>
    </row>
    <row r="19" ht="15" customHeight="1">
      <c r="B19" s="16" t="inlineStr">
        <is>
          <t>If currently above ceiling, future deleveraging could open capacity</t>
        </is>
      </c>
    </row>
    <row r="20" ht="15" customHeight="1">
      <c r="B20" s="14" t="inlineStr">
        <is>
          <t>Probability-weighted value to borrower</t>
        </is>
      </c>
      <c r="C20" s="33">
        <f>C17*C18*C5/10000*C6</f>
        <v>129.60000000000002</v>
      </c>
    </row>
    <row r="21" ht="15" customHeight="1">
      <c r="B21" s="14" t="inlineStr">
        <is>
          <t>Spread cost to lender (bps)</t>
        </is>
      </c>
      <c r="C21" s="31">
        <f>-C20*10000/Inputs!C8/Inputs!C21</f>
        <v>-30.259164137286955</v>
      </c>
    </row>
    <row r="23" ht="15" customHeight="1">
      <c r="B23" s="13" t="inlineStr">
        <is>
          <t>MFN PROTECTION</t>
        </is>
      </c>
      <c r="C23" s="47" t="n"/>
    </row>
    <row r="24" ht="15" customHeight="1">
      <c r="B24" s="14" t="inlineStr">
        <is>
          <t>MFN cushion (bps)</t>
        </is>
      </c>
      <c r="C24" s="23" t="n">
        <v>50</v>
      </c>
    </row>
    <row r="25" ht="15" customHeight="1">
      <c r="B25" s="14" t="inlineStr">
        <is>
          <t>Sunset (months)</t>
        </is>
      </c>
      <c r="C25" s="23" t="n">
        <v>12</v>
      </c>
    </row>
    <row r="26" ht="15" customHeight="1">
      <c r="B26" s="14" t="inlineStr">
        <is>
          <t>Prob. of issue at higher spread</t>
        </is>
      </c>
      <c r="C26" s="21" t="n">
        <v>0.3</v>
      </c>
    </row>
    <row r="27" ht="15" customHeight="1">
      <c r="B27" s="14" t="inlineStr">
        <is>
          <t>Avg incremental spread (bps)</t>
        </is>
      </c>
      <c r="C27" s="23" t="n">
        <v>100</v>
      </c>
    </row>
    <row r="28" ht="15" customHeight="1">
      <c r="B28" s="14" t="inlineStr">
        <is>
          <t>MFN uplift to lender (bps spread)</t>
        </is>
      </c>
      <c r="C28" s="31">
        <f>C26*MAX(0,C27-C24)*C25/12*0.5</f>
        <v>7.5</v>
      </c>
    </row>
  </sheetData>
  <mergeCells count="4">
    <mergeCell ref="B23:C23"/>
    <mergeCell ref="B1:C1"/>
    <mergeCell ref="B3:C3"/>
    <mergeCell ref="B12:C12"/>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1:D31"/>
  <sheetViews>
    <sheetView zoomScaleNormal="100" workbookViewId="0">
      <selection activeCell="A1" sqref="A1"/>
    </sheetView>
  </sheetViews>
  <sheetFormatPr baseColWidth="8" defaultColWidth="8.7109375" defaultRowHeight="15"/>
  <cols>
    <col width="4" customWidth="1" min="1" max="1"/>
    <col width="42" customWidth="1" min="2" max="2"/>
    <col width="18" customWidth="1" min="3" max="3"/>
  </cols>
  <sheetData>
    <row r="1" ht="17.25" customHeight="1">
      <c r="B1" s="2" t="inlineStr">
        <is>
          <t>RESTRICTED PAYMENTS BUNDLE</t>
        </is>
      </c>
    </row>
    <row r="3" ht="15" customHeight="1">
      <c r="B3" s="13" t="inlineStr">
        <is>
          <t>STARTER BASKET (Day-1 American call)</t>
        </is>
      </c>
      <c r="C3" s="47" t="n"/>
    </row>
    <row r="4" ht="15" customHeight="1">
      <c r="B4" s="14" t="inlineStr">
        <is>
          <t>Starter basket size (EUR m)</t>
        </is>
      </c>
      <c r="C4" s="15" t="n">
        <v>100</v>
      </c>
    </row>
    <row r="5" ht="15" customHeight="1">
      <c r="B5" s="14" t="inlineStr">
        <is>
          <t>Probability of using (% of basket)</t>
        </is>
      </c>
      <c r="C5" s="21" t="n">
        <v>0.8</v>
      </c>
    </row>
    <row r="6" ht="15" customHeight="1">
      <c r="B6" s="14" t="inlineStr">
        <is>
          <t>Effective extraction (EUR m)</t>
        </is>
      </c>
      <c r="C6" s="17">
        <f>C4*C5</f>
        <v>80.0</v>
      </c>
    </row>
    <row r="7" ht="15" customHeight="1">
      <c r="B7" s="14" t="inlineStr">
        <is>
          <t>Spread cost to lender (bps)</t>
        </is>
      </c>
      <c r="C7" s="31">
        <f>-C6*10000/Inputs!C8/Inputs!C21</f>
        <v>-18.678496381041327</v>
      </c>
    </row>
    <row r="8" ht="15" customHeight="1">
      <c r="B8" s="16" t="inlineStr">
        <is>
          <t>Spread cost = present value of foregone collateral × required return</t>
        </is>
      </c>
    </row>
    <row r="10" ht="15" customHeight="1">
      <c r="B10" s="13" t="inlineStr">
        <is>
          <t>LEVERAGE-BASED RP (Knock-in barrier)</t>
        </is>
      </c>
      <c r="C10" s="47" t="n"/>
    </row>
    <row r="11" ht="15" customHeight="1">
      <c r="B11" s="14" t="inlineStr">
        <is>
          <t>RP leverage threshold (x)</t>
        </is>
      </c>
      <c r="C11" s="20" t="n">
        <v>4.5</v>
      </c>
    </row>
    <row r="12" ht="15" customHeight="1">
      <c r="B12" s="14" t="inlineStr">
        <is>
          <t>Current leverage</t>
        </is>
      </c>
      <c r="C12" s="34">
        <f>Inputs!C10</f>
        <v>4.468989958653278</v>
      </c>
    </row>
    <row r="13" ht="15" customHeight="1">
      <c r="B13" s="14" t="inlineStr">
        <is>
          <t>Distance to barrier (turns)</t>
        </is>
      </c>
      <c r="C13" s="35">
        <f>C12-C11</f>
        <v>-0.031010041346721806</v>
      </c>
    </row>
    <row r="14" ht="15" customHeight="1">
      <c r="B14" s="14" t="inlineStr">
        <is>
          <t>Prob. of usable RP capacity if barrier crossed</t>
        </is>
      </c>
      <c r="C14" s="24">
        <f>IF(C13&lt;=0,$C$18,1-NORMSDIST(C13/(Inputs!C14*SQRT(5))))</f>
        <v>0.85</v>
      </c>
    </row>
    <row r="15" ht="15" customHeight="1">
      <c r="B15" s="14" t="inlineStr">
        <is>
          <t>Capacity if barrier hit (EUR m)</t>
        </is>
      </c>
      <c r="C15" s="15" t="n">
        <v>200</v>
      </c>
    </row>
    <row r="16" ht="15" customHeight="1">
      <c r="B16" s="14" t="inlineStr">
        <is>
          <t>Effective extraction (EUR m)</t>
        </is>
      </c>
      <c r="C16" s="33">
        <f>C14*C15*0.6</f>
        <v>102.0</v>
      </c>
    </row>
    <row r="17" ht="15" customHeight="1">
      <c r="B17" s="14" t="inlineStr">
        <is>
          <t>Spread cost to lender (bps)</t>
        </is>
      </c>
      <c r="C17" s="31">
        <f>-C16*10000/Inputs!C8/Inputs!C21</f>
        <v>-23.81508288582769</v>
      </c>
    </row>
    <row r="18">
      <c r="B18" s="14" t="inlineStr">
        <is>
          <t>Above-barrier crossing prob. (input)</t>
        </is>
      </c>
      <c r="C18" t="n">
        <v>0.85</v>
      </c>
      <c r="D18" t="inlineStr">
        <is>
          <t>Hardcoded prob. when currently above the RP leverage barrier</t>
        </is>
      </c>
    </row>
    <row r="19" ht="15" customHeight="1">
      <c r="B19" s="13" t="inlineStr">
        <is>
          <t>BUILDER BASKET (Asian-style)</t>
        </is>
      </c>
      <c r="C19" s="47" t="n"/>
    </row>
    <row r="20" ht="15" customHeight="1">
      <c r="B20" s="14" t="inlineStr">
        <is>
          <t>CNI growth p.a.</t>
        </is>
      </c>
      <c r="C20" s="19" t="n">
        <v>0.05</v>
      </c>
    </row>
    <row r="21" ht="15" customHeight="1">
      <c r="B21" s="14" t="inlineStr">
        <is>
          <t>CNI / EBITDA</t>
        </is>
      </c>
      <c r="C21" s="21" t="n">
        <v>0.5</v>
      </c>
    </row>
    <row r="22" ht="15" customHeight="1">
      <c r="B22" s="14" t="inlineStr">
        <is>
          <t>Build rate (% of CNI)</t>
        </is>
      </c>
      <c r="C22" s="21" t="n">
        <v>0.5</v>
      </c>
    </row>
    <row r="23" ht="15" customHeight="1">
      <c r="B23" s="14" t="inlineStr">
        <is>
          <t>Cumulative CNI over tenor (EUR m)</t>
        </is>
      </c>
      <c r="C23" s="17">
        <f>Inputs!C9*C21*Inputs!C21*(1+C20*(Inputs!C21+1)/2)</f>
        <v>4867.375</v>
      </c>
    </row>
    <row r="24" ht="15" customHeight="1">
      <c r="B24" s="14" t="inlineStr">
        <is>
          <t>Builder basket capacity (EUR m)</t>
        </is>
      </c>
      <c r="C24" s="17">
        <f>C23*C22</f>
        <v>2433.6875</v>
      </c>
    </row>
    <row r="25" ht="15" customHeight="1">
      <c r="B25" s="14" t="inlineStr">
        <is>
          <t>Leverage-gate damping (4.5x gate)</t>
        </is>
      </c>
      <c r="C25" s="21">
        <f>NORMSDIST((C11-Inputs!C10*0.85)/(Inputs!C14*SQRT(Inputs!C21)))*0.7</f>
        <v>0.6999690994755399</v>
      </c>
    </row>
    <row r="26" ht="15" customHeight="1">
      <c r="B26" s="16" t="inlineStr">
        <is>
          <t>Damping = N((gate - opening×0.85)/(σ_EBITDA×√T)) × 0.7 (exercise prob); 0.85 = deleverage factor</t>
        </is>
      </c>
    </row>
    <row r="27" ht="15" customHeight="1">
      <c r="B27" s="14" t="inlineStr">
        <is>
          <t>Effective extraction (EUR m)</t>
        </is>
      </c>
      <c r="C27" s="17">
        <f>C24*C25</f>
        <v>1703.506047779878</v>
      </c>
    </row>
    <row r="28" ht="15" customHeight="1">
      <c r="B28" s="14" t="inlineStr">
        <is>
          <t>Spread cost to lender (bps)</t>
        </is>
      </c>
      <c r="C28" s="31">
        <f>-C27*10000/Inputs!C8/Inputs!C21</f>
        <v>-397.7366443567308</v>
      </c>
    </row>
    <row r="30" ht="15" customHeight="1">
      <c r="B30" s="13" t="inlineStr">
        <is>
          <t>RP BUNDLE TOTAL</t>
        </is>
      </c>
      <c r="C30" s="47" t="n"/>
    </row>
    <row r="31" ht="15" customHeight="1">
      <c r="B31" s="14" t="inlineStr">
        <is>
          <t>Total RP spread cost (bps)</t>
        </is>
      </c>
      <c r="C31" s="31">
        <f>C7+C17+C28</f>
        <v>-440.2302236235998</v>
      </c>
    </row>
  </sheetData>
  <mergeCells count="5">
    <mergeCell ref="B30:C30"/>
    <mergeCell ref="B3:C3"/>
    <mergeCell ref="B19:C19"/>
    <mergeCell ref="B10:C10"/>
    <mergeCell ref="B1:C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1:C14"/>
  <sheetViews>
    <sheetView zoomScaleNormal="100" workbookViewId="0">
      <selection activeCell="A1" sqref="A1"/>
    </sheetView>
  </sheetViews>
  <sheetFormatPr baseColWidth="8" defaultColWidth="8.7109375" defaultRowHeight="15"/>
  <cols>
    <col width="4" customWidth="1" min="1" max="1"/>
    <col width="42" customWidth="1" min="2" max="2"/>
    <col width="18" customWidth="1" min="3" max="3"/>
  </cols>
  <sheetData>
    <row r="1" ht="17.25" customHeight="1">
      <c r="B1" s="2" t="inlineStr">
        <is>
          <t>ASSET SALE OPTIONALITY</t>
        </is>
      </c>
    </row>
    <row r="3" ht="15" customHeight="1">
      <c r="B3" s="13" t="inlineStr">
        <is>
          <t>REINVESTMENT RIGHT (real option, 365d window)</t>
        </is>
      </c>
      <c r="C3" s="47" t="n"/>
    </row>
    <row r="4" ht="15" customHeight="1">
      <c r="B4" s="14" t="inlineStr">
        <is>
          <t>Expected proceeds (EUR m)</t>
        </is>
      </c>
      <c r="C4" s="15" t="n">
        <v>100</v>
      </c>
    </row>
    <row r="5" ht="15" customHeight="1">
      <c r="B5" s="14" t="inlineStr">
        <is>
          <t>Probability of asset sale</t>
        </is>
      </c>
      <c r="C5" s="21" t="n">
        <v>0.4</v>
      </c>
    </row>
    <row r="6" ht="15" customHeight="1">
      <c r="B6" s="14" t="inlineStr">
        <is>
          <t>Strategic premium (% above debt PV)</t>
        </is>
      </c>
      <c r="C6" s="19" t="n">
        <v>0.1</v>
      </c>
    </row>
    <row r="7" ht="15" customHeight="1">
      <c r="B7" s="14" t="inlineStr">
        <is>
          <t>Value to borrower (EUR m)</t>
        </is>
      </c>
      <c r="C7" s="33">
        <f>C4*C5*C6</f>
        <v>4.0</v>
      </c>
    </row>
    <row r="8" ht="15" customHeight="1">
      <c r="B8" s="14" t="inlineStr">
        <is>
          <t>Spread cost to lender (bps)</t>
        </is>
      </c>
      <c r="C8" s="31">
        <f>-C7*10000/Inputs!C8/Inputs!C21</f>
        <v>-0.9339248190520664</v>
      </c>
    </row>
    <row r="10" ht="15" customHeight="1">
      <c r="B10" s="13" t="inlineStr">
        <is>
          <t>LEVERAGE STEP-DOWN</t>
        </is>
      </c>
      <c r="C10" s="47" t="n"/>
    </row>
    <row r="11" ht="15" customHeight="1">
      <c r="B11" s="14" t="inlineStr">
        <is>
          <t>Avg sweep retention (across thresholds)</t>
        </is>
      </c>
      <c r="C11" s="21" t="n">
        <v>0.5</v>
      </c>
    </row>
    <row r="12" ht="15" customHeight="1">
      <c r="B12" s="14" t="inlineStr">
        <is>
          <t>Avg proceeds re-deployed (EUR m)</t>
        </is>
      </c>
      <c r="C12" s="33">
        <f>C4*C5*(1-C11)</f>
        <v>20.0</v>
      </c>
    </row>
    <row r="13" ht="15" customHeight="1">
      <c r="B13" s="14" t="inlineStr">
        <is>
          <t>Spread cost to lender (bps)</t>
        </is>
      </c>
      <c r="C13" s="31">
        <f>-C12*0.3*10000/Inputs!C8/Inputs!C21</f>
        <v>-1.4008872285780993</v>
      </c>
    </row>
    <row r="14" ht="15" customHeight="1">
      <c r="B14" s="16" t="inlineStr">
        <is>
          <t>Step-down cost = avoided sweep × marginal cost-of-capital</t>
        </is>
      </c>
    </row>
  </sheetData>
  <mergeCells count="3">
    <mergeCell ref="B1:C1"/>
    <mergeCell ref="B3:C3"/>
    <mergeCell ref="B10:C10"/>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B1:C21"/>
  <sheetViews>
    <sheetView zoomScaleNormal="100" workbookViewId="0">
      <selection activeCell="A1" sqref="A1"/>
    </sheetView>
  </sheetViews>
  <sheetFormatPr baseColWidth="8" defaultColWidth="8.7109375" defaultRowHeight="15"/>
  <cols>
    <col width="4" customWidth="1" min="1" max="1"/>
    <col width="42" customWidth="1" min="2" max="2"/>
    <col width="18" customWidth="1" min="3" max="3"/>
  </cols>
  <sheetData>
    <row r="1" ht="17.25" customHeight="1">
      <c r="B1" s="2" t="inlineStr">
        <is>
          <t>CHANGE-OF-CONTROL PUT + PORTABILITY</t>
        </is>
      </c>
    </row>
    <row r="3" ht="15" customHeight="1">
      <c r="B3" s="13" t="inlineStr">
        <is>
          <t>GROSS CoC PUT (101% strike)</t>
        </is>
      </c>
      <c r="C3" s="47" t="n"/>
    </row>
    <row r="4" ht="15" customHeight="1">
      <c r="B4" s="14" t="inlineStr">
        <is>
          <t>CoC hazard λ</t>
        </is>
      </c>
      <c r="C4" s="26">
        <f>Inputs!C26</f>
        <v>0.18</v>
      </c>
    </row>
    <row r="5" ht="15" customHeight="1">
      <c r="B5" s="14" t="inlineStr">
        <is>
          <t>Tenor</t>
        </is>
      </c>
      <c r="C5" s="28">
        <f>Inputs!C21</f>
        <v>5.0</v>
      </c>
    </row>
    <row r="6" ht="15" customHeight="1">
      <c r="B6" s="14" t="inlineStr">
        <is>
          <t>Cumulative CoC probability</t>
        </is>
      </c>
      <c r="C6" s="24">
        <f>1-EXP(-C4*C5)</f>
        <v>0.5934303402594008</v>
      </c>
    </row>
    <row r="7" ht="15" customHeight="1">
      <c r="B7" s="14" t="inlineStr">
        <is>
          <t>Bond duration (years)</t>
        </is>
      </c>
      <c r="C7" s="36" t="n">
        <v>4</v>
      </c>
    </row>
    <row r="8" ht="15" customHeight="1">
      <c r="B8" s="14" t="inlineStr">
        <is>
          <t>Put premium</t>
        </is>
      </c>
      <c r="C8" s="22" t="n">
        <v>0.01</v>
      </c>
    </row>
    <row r="9" ht="15" customHeight="1">
      <c r="B9" s="14" t="inlineStr">
        <is>
          <t>Gross CoC put PV (% of par)</t>
        </is>
      </c>
      <c r="C9" s="37">
        <f>C6*C8</f>
        <v>0.005934303402594008</v>
      </c>
    </row>
    <row r="10" ht="15" customHeight="1">
      <c r="B10" s="14" t="inlineStr">
        <is>
          <t>Gross CoC put as bps spread</t>
        </is>
      </c>
      <c r="C10" s="31">
        <f>C9*10000/C7</f>
        <v>14.83575850648502</v>
      </c>
    </row>
    <row r="12" ht="15" customHeight="1">
      <c r="B12" s="13" t="inlineStr">
        <is>
          <t>PORTABILITY ADJUSTMENT</t>
        </is>
      </c>
      <c r="C12" s="47" t="n"/>
    </row>
    <row r="13" ht="15" customHeight="1">
      <c r="B13" s="14" t="inlineStr">
        <is>
          <t>Portability threshold (x)</t>
        </is>
      </c>
      <c r="C13" s="20" t="n">
        <v>4.5</v>
      </c>
    </row>
    <row r="14" ht="15" customHeight="1">
      <c r="B14" s="14" t="inlineStr">
        <is>
          <t>Current leverage</t>
        </is>
      </c>
      <c r="C14" s="34">
        <f>Inputs!C10</f>
        <v>4.468989958653278</v>
      </c>
    </row>
    <row r="15" ht="15" customHeight="1">
      <c r="B15" s="14" t="inlineStr">
        <is>
          <t>Prob. pro-forma lev &gt; threshold (put fires)</t>
        </is>
      </c>
      <c r="C15" s="21" t="n">
        <v>0.65</v>
      </c>
    </row>
    <row r="16" ht="15" customHeight="1">
      <c r="B16" s="14" t="inlineStr">
        <is>
          <t>Portability-adjusted put (bps)</t>
        </is>
      </c>
      <c r="C16" s="31">
        <f>C10*C15</f>
        <v>9.643243029215263</v>
      </c>
    </row>
    <row r="18" ht="15" customHeight="1">
      <c r="B18" s="13" t="inlineStr">
        <is>
          <t>DISGUISED PORTABILITY (Permitted Holders)</t>
        </is>
      </c>
      <c r="C18" s="47" t="n"/>
    </row>
    <row r="19" ht="15" customHeight="1">
      <c r="B19" s="14" t="inlineStr">
        <is>
          <t>PH coverage of buyer universe</t>
        </is>
      </c>
      <c r="C19" s="38">
        <f>Inputs!C28</f>
        <v>0.4</v>
      </c>
    </row>
    <row r="20" ht="15" customHeight="1">
      <c r="B20" s="14" t="inlineStr">
        <is>
          <t>Net CoC put value to lender (bps)</t>
        </is>
      </c>
      <c r="C20" s="31">
        <f>C16*(1-C19)</f>
        <v>5.785945817529158</v>
      </c>
    </row>
    <row r="21" ht="15" customHeight="1">
      <c r="B21" s="14" t="inlineStr">
        <is>
          <t>Total giveback (gross - net)</t>
        </is>
      </c>
      <c r="C21" s="31">
        <f>C10-C20</f>
        <v>9.04981268895586</v>
      </c>
    </row>
  </sheetData>
  <mergeCells count="4">
    <mergeCell ref="B18:C18"/>
    <mergeCell ref="B1:C1"/>
    <mergeCell ref="B3:C3"/>
    <mergeCell ref="B12:C12"/>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1:C16"/>
  <sheetViews>
    <sheetView zoomScaleNormal="100" workbookViewId="0">
      <selection activeCell="A1" sqref="A1"/>
    </sheetView>
  </sheetViews>
  <sheetFormatPr baseColWidth="8" defaultColWidth="8.7109375" defaultRowHeight="15"/>
  <cols>
    <col width="4" customWidth="1" min="1" max="1"/>
    <col width="42" customWidth="1" min="2" max="2"/>
    <col width="18" customWidth="1" min="3" max="3"/>
  </cols>
  <sheetData>
    <row r="1" ht="17.25" customHeight="1">
      <c r="B1" s="2" t="inlineStr">
        <is>
          <t>EQUITY CURE RIGHT (Bermudan put, sponsor-side)</t>
        </is>
      </c>
    </row>
    <row r="3" ht="15" customHeight="1">
      <c r="B3" s="13" t="inlineStr">
        <is>
          <t>INPUTS</t>
        </is>
      </c>
      <c r="C3" s="47" t="n"/>
    </row>
    <row r="4" ht="15" customHeight="1">
      <c r="B4" s="14" t="inlineStr">
        <is>
          <t>Number of cure rights</t>
        </is>
      </c>
      <c r="C4" s="23" t="n">
        <v>5</v>
      </c>
    </row>
    <row r="5" ht="15" customHeight="1">
      <c r="B5" s="14" t="inlineStr">
        <is>
          <t>Maintenance covenant (x)</t>
        </is>
      </c>
      <c r="C5" s="20" t="n">
        <v>5.75</v>
      </c>
    </row>
    <row r="6" ht="15" customHeight="1">
      <c r="B6" s="14" t="inlineStr">
        <is>
          <t>Avg cure injection per use (EUR m)</t>
        </is>
      </c>
      <c r="C6" s="15" t="n">
        <v>25</v>
      </c>
    </row>
    <row r="7" ht="15" customHeight="1">
      <c r="B7" s="14" t="inlineStr">
        <is>
          <t>Recovery improvement per cure</t>
        </is>
      </c>
      <c r="C7" s="21" t="n">
        <v>0.05</v>
      </c>
    </row>
    <row r="8" ht="15" customHeight="1">
      <c r="B8" s="16" t="inlineStr">
        <is>
          <t>Realistic: each cure improves expected recovery by ~5%, not 20%</t>
        </is>
      </c>
    </row>
    <row r="10" ht="15" customHeight="1">
      <c r="B10" s="13" t="inlineStr">
        <is>
          <t>RESULTS</t>
        </is>
      </c>
      <c r="C10" s="47" t="n"/>
    </row>
    <row r="11" ht="15" customHeight="1">
      <c r="B11" s="14" t="inlineStr">
        <is>
          <t>Probability of covenant breach over tenor</t>
        </is>
      </c>
      <c r="C11" s="24">
        <f>MIN(0.6, NORMSDIST((Inputs!C10-C5)/(Inputs!C14*SQRT(Inputs!C21))))</f>
        <v>4.002909115286002e-13</v>
      </c>
    </row>
    <row r="12" ht="15" customHeight="1">
      <c r="B12" s="14" t="inlineStr">
        <is>
          <t>Expected cures used</t>
        </is>
      </c>
      <c r="C12" s="39">
        <f>MIN(C11*C4,C4*0.6)</f>
        <v>2.001454557643001e-12</v>
      </c>
    </row>
    <row r="13" ht="15" customHeight="1">
      <c r="B13" s="14" t="inlineStr">
        <is>
          <t>PV of injections (EUR m)</t>
        </is>
      </c>
      <c r="C13" s="33">
        <f>C12*C6</f>
        <v>5.0036363941075024e-11</v>
      </c>
    </row>
    <row r="14" ht="15" customHeight="1">
      <c r="B14" s="14" t="inlineStr">
        <is>
          <t>Recovery improvement (EUR m)</t>
        </is>
      </c>
      <c r="C14" s="33">
        <f>C12*Inputs!C6*C7</f>
        <v>6.184494583116873e-10</v>
      </c>
    </row>
    <row r="15" ht="15" customHeight="1">
      <c r="B15" s="14" t="inlineStr">
        <is>
          <t>Sponsor net option value (EUR m)</t>
        </is>
      </c>
      <c r="C15" s="33">
        <f>C14-C13</f>
        <v>5.684130943706123e-10</v>
      </c>
    </row>
    <row r="16" ht="15" customHeight="1">
      <c r="B16" s="14" t="inlineStr">
        <is>
          <t>Spread cost to lender (bps)</t>
        </is>
      </c>
      <c r="C16" s="31">
        <f>-C15*10000/Inputs!C8/Inputs!C21</f>
        <v>-1.327137740767248e-10</v>
      </c>
    </row>
  </sheetData>
  <mergeCells count="3">
    <mergeCell ref="B1:C1"/>
    <mergeCell ref="B3:C3"/>
    <mergeCell ref="B10:C10"/>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1:C15"/>
  <sheetViews>
    <sheetView zoomScaleNormal="100" workbookViewId="0">
      <selection activeCell="A1" sqref="A1"/>
    </sheetView>
  </sheetViews>
  <sheetFormatPr baseColWidth="8" defaultColWidth="8.7109375" defaultRowHeight="15"/>
  <cols>
    <col width="4" customWidth="1" min="1" max="1"/>
    <col width="42" customWidth="1" min="2" max="2"/>
    <col width="18" customWidth="1" min="3" max="3"/>
  </cols>
  <sheetData>
    <row r="1" ht="17.25" customHeight="1">
      <c r="B1" s="2" t="inlineStr">
        <is>
          <t>SPRINGING COVENANT + MFN</t>
        </is>
      </c>
    </row>
    <row r="3" ht="15" customHeight="1">
      <c r="B3" s="13" t="inlineStr">
        <is>
          <t>SPRINGING COVENANT (RCF knock-in)</t>
        </is>
      </c>
      <c r="C3" s="47" t="n"/>
    </row>
    <row r="4" ht="15" customHeight="1">
      <c r="B4" s="14" t="inlineStr">
        <is>
          <t>RCF utilization barrier</t>
        </is>
      </c>
      <c r="C4" s="21" t="n">
        <v>0.4</v>
      </c>
    </row>
    <row r="5" ht="15" customHeight="1">
      <c r="B5" s="14" t="inlineStr">
        <is>
          <t>Springing leverage threshold</t>
        </is>
      </c>
      <c r="C5" s="20" t="n">
        <v>5.75</v>
      </c>
    </row>
    <row r="6" ht="15" customHeight="1">
      <c r="B6" s="14" t="inlineStr">
        <is>
          <t>Prob. of barrier hit at QE</t>
        </is>
      </c>
      <c r="C6" s="21" t="n">
        <v>0.15</v>
      </c>
    </row>
    <row r="7" ht="15" customHeight="1">
      <c r="B7" s="14" t="inlineStr">
        <is>
          <t>Springing covenant value if springs (bps spread)</t>
        </is>
      </c>
      <c r="C7" s="23" t="n">
        <v>75</v>
      </c>
    </row>
    <row r="8" ht="15" customHeight="1">
      <c r="B8" s="14" t="inlineStr">
        <is>
          <t>Lender gain (bps spread)</t>
        </is>
      </c>
      <c r="C8" s="31">
        <f>C6*C7</f>
        <v>11.25</v>
      </c>
    </row>
    <row r="10" ht="15" customHeight="1">
      <c r="B10" s="13" t="inlineStr">
        <is>
          <t>MFN LOOKBACK (lender protection)</t>
        </is>
      </c>
      <c r="C10" s="47" t="n"/>
    </row>
    <row r="11" ht="15" customHeight="1">
      <c r="B11" s="14" t="inlineStr">
        <is>
          <t>MFN cushion (bps)</t>
        </is>
      </c>
      <c r="C11" s="23" t="n">
        <v>50</v>
      </c>
    </row>
    <row r="12" ht="15" customHeight="1">
      <c r="B12" s="14" t="inlineStr">
        <is>
          <t>Sunset (months)</t>
        </is>
      </c>
      <c r="C12" s="23" t="n">
        <v>12</v>
      </c>
    </row>
    <row r="13" ht="15" customHeight="1">
      <c r="B13" s="14" t="inlineStr">
        <is>
          <t>Prob. of MFN trigger</t>
        </is>
      </c>
      <c r="C13" s="21" t="n">
        <v>0.3</v>
      </c>
    </row>
    <row r="14" ht="15" customHeight="1">
      <c r="B14" s="14" t="inlineStr">
        <is>
          <t>Avg new-issue spread above existing (bps)</t>
        </is>
      </c>
      <c r="C14" s="23" t="n">
        <v>100</v>
      </c>
    </row>
    <row r="15" ht="15" customHeight="1">
      <c r="B15" s="14" t="inlineStr">
        <is>
          <t>Lender uplift (bps)</t>
        </is>
      </c>
      <c r="C15" s="31">
        <f>C13*MAX(0,C14-C11)*(C12/12)*0.5</f>
        <v>7.5</v>
      </c>
    </row>
  </sheetData>
  <mergeCells count="3">
    <mergeCell ref="B1:C1"/>
    <mergeCell ref="B3:C3"/>
    <mergeCell ref="B10:C10"/>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1:C19"/>
  <sheetViews>
    <sheetView zoomScaleNormal="100" workbookViewId="0">
      <selection activeCell="A1" sqref="A1"/>
    </sheetView>
  </sheetViews>
  <sheetFormatPr baseColWidth="8" defaultColWidth="8.7109375" defaultRowHeight="15"/>
  <cols>
    <col width="4" customWidth="1" min="1" max="1"/>
    <col width="42" customWidth="1" min="2" max="2"/>
    <col width="18" customWidth="1" min="3" max="3"/>
  </cols>
  <sheetData>
    <row r="1" ht="17.25" customHeight="1">
      <c r="B1" s="2" t="inlineStr">
        <is>
          <t>LME BUNDLE</t>
        </is>
      </c>
    </row>
    <row r="3" ht="15" customHeight="1">
      <c r="B3" s="13" t="inlineStr">
        <is>
          <t>UPTIER EXCHANGE (Serta-style)</t>
        </is>
      </c>
      <c r="C3" s="47" t="n"/>
    </row>
    <row r="4" ht="15" customHeight="1">
      <c r="B4" s="14" t="inlineStr">
        <is>
          <t>Distress probability (5y cumulative)</t>
        </is>
      </c>
      <c r="C4" s="21" t="n">
        <v>0.2</v>
      </c>
    </row>
    <row r="5" ht="15" customHeight="1">
      <c r="B5" s="14" t="inlineStr">
        <is>
          <t>Recovery if primed (cents/dollar)</t>
        </is>
      </c>
      <c r="C5" s="21" t="n">
        <v>0.35</v>
      </c>
    </row>
    <row r="6" ht="15" customHeight="1">
      <c r="B6" s="14" t="inlineStr">
        <is>
          <t>Recovery if coordinated resistance</t>
        </is>
      </c>
      <c r="C6" s="21" t="n">
        <v>0.55</v>
      </c>
    </row>
    <row r="7" ht="15" customHeight="1">
      <c r="B7" s="14" t="inlineStr">
        <is>
          <t>Recovery if part of majority</t>
        </is>
      </c>
      <c r="C7" s="21" t="n">
        <v>0.7</v>
      </c>
    </row>
    <row r="8" ht="15" customHeight="1">
      <c r="B8" s="14" t="inlineStr">
        <is>
          <t>Anti-Serta strength (0-1)</t>
        </is>
      </c>
      <c r="C8" s="21" t="n">
        <v>0.8</v>
      </c>
    </row>
    <row r="9" ht="15" customHeight="1">
      <c r="B9" s="14" t="inlineStr">
        <is>
          <t>Recovery without anti-Serta</t>
        </is>
      </c>
      <c r="C9" s="40">
        <f>0.5*C5+0.5*C7</f>
        <v>0.5249999999999999</v>
      </c>
    </row>
    <row r="10" ht="15" customHeight="1">
      <c r="B10" s="14" t="inlineStr">
        <is>
          <t>Recovery with anti-Serta</t>
        </is>
      </c>
      <c r="C10" s="40">
        <f>C8*C6+(1-C8)*C9</f>
        <v>0.545</v>
      </c>
    </row>
    <row r="11" ht="15" customHeight="1">
      <c r="B11" s="14" t="inlineStr">
        <is>
          <t>Recovery delta</t>
        </is>
      </c>
      <c r="C11" s="40">
        <f>C10-C9</f>
        <v>0.02000000000000013</v>
      </c>
    </row>
    <row r="12" ht="15" customHeight="1">
      <c r="B12" s="14" t="inlineStr">
        <is>
          <t>PV improvement (EUR m)</t>
        </is>
      </c>
      <c r="C12" s="33">
        <f>C4*C11*Inputs!C6</f>
        <v>24.720000000000162</v>
      </c>
    </row>
    <row r="13" ht="15" customHeight="1">
      <c r="B13" s="14" t="inlineStr">
        <is>
          <t>Anti-Serta uplift to lender (bps)</t>
        </is>
      </c>
      <c r="C13" s="31">
        <f>C12*10000/Inputs!C8/Inputs!C21</f>
        <v>5.771655381741808</v>
      </c>
    </row>
    <row r="15" ht="15" customHeight="1">
      <c r="B15" s="13" t="inlineStr">
        <is>
          <t>DROP-DOWN (J.Crew)</t>
        </is>
      </c>
      <c r="C15" s="47" t="n"/>
    </row>
    <row r="16" ht="15" customHeight="1">
      <c r="B16" s="14" t="inlineStr">
        <is>
          <t>Anti-J.Crew strength</t>
        </is>
      </c>
      <c r="C16" s="21" t="n">
        <v>0.85</v>
      </c>
    </row>
    <row r="17" ht="15" customHeight="1">
      <c r="B17" s="14" t="inlineStr">
        <is>
          <t>Collateral leakage if no anti-J.Crew (% of V)</t>
        </is>
      </c>
      <c r="C17" s="21" t="n">
        <v>0.05</v>
      </c>
    </row>
    <row r="18" ht="15" customHeight="1">
      <c r="B18" s="14" t="inlineStr">
        <is>
          <t>Recovery improvement (EUR m)</t>
        </is>
      </c>
      <c r="C18" s="33">
        <f>C4*C16*C17*Inputs!C4</f>
        <v>154.649</v>
      </c>
    </row>
    <row r="19" ht="15" customHeight="1">
      <c r="B19" s="14" t="inlineStr">
        <is>
          <t>Anti-J.Crew uplift (bps)</t>
        </is>
      </c>
      <c r="C19" s="31">
        <f>C18*10000/Inputs!C8/Inputs!C21</f>
        <v>36.10763483539575</v>
      </c>
    </row>
  </sheetData>
  <mergeCells count="3">
    <mergeCell ref="B1:C1"/>
    <mergeCell ref="B3:C3"/>
    <mergeCell ref="B15:C15"/>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B1:E34"/>
  <sheetViews>
    <sheetView zoomScaleNormal="100" workbookViewId="0">
      <selection activeCell="A1" sqref="A1"/>
    </sheetView>
  </sheetViews>
  <sheetFormatPr baseColWidth="8" defaultColWidth="8.7109375" defaultRowHeight="15"/>
  <cols>
    <col width="4" customWidth="1" min="1" max="1"/>
    <col width="52" customWidth="1" min="2" max="2"/>
    <col width="17" customWidth="1" min="3" max="3"/>
    <col width="20" customWidth="1" min="4" max="4"/>
  </cols>
  <sheetData>
    <row r="1" ht="17.25" customHeight="1">
      <c r="B1" s="2" t="inlineStr">
        <is>
          <t>MASTER SUMMARY</t>
        </is>
      </c>
    </row>
    <row r="2" ht="15" customHeight="1">
      <c r="B2" s="16" t="inlineStr">
        <is>
          <t>Aggregate borrower-side optionality (negative to lender). Compare to market spread.</t>
        </is>
      </c>
    </row>
    <row r="4" ht="15" customHeight="1">
      <c r="B4" s="13" t="inlineStr">
        <is>
          <t>Option Component</t>
        </is>
      </c>
      <c r="C4" s="13" t="inlineStr">
        <is>
          <t>Value (bps)</t>
        </is>
      </c>
      <c r="D4" s="13" t="inlineStr">
        <is>
          <t>Side</t>
        </is>
      </c>
      <c r="E4" t="inlineStr">
        <is>
          <t>Base</t>
        </is>
      </c>
    </row>
    <row r="5" ht="15" customHeight="1">
      <c r="B5" s="14" t="inlineStr">
        <is>
          <t>Credit-risk put (Merton, adjusted)</t>
        </is>
      </c>
      <c r="C5" s="41">
        <f>-'Merton Credit Put'!C27</f>
        <v>-4.764142101654212e-06</v>
      </c>
      <c r="D5" s="42" t="inlineStr">
        <is>
          <t>Short</t>
        </is>
      </c>
      <c r="E5" t="inlineStr">
        <is>
          <t>Deal (total debt × tenor)</t>
        </is>
      </c>
    </row>
    <row r="6" ht="15" customHeight="1">
      <c r="B6" s="14" t="inlineStr">
        <is>
          <t>Fixed call schedule (HY)</t>
        </is>
      </c>
      <c r="C6" s="41">
        <f>'Call Schedule (HY)'!C20*Inputs!C7/Inputs!C8</f>
        <v>-1.2831793089229422</v>
      </c>
      <c r="D6" s="42" t="inlineStr">
        <is>
          <t>Short</t>
        </is>
      </c>
      <c r="E6" t="inlineStr">
        <is>
          <t>HY → deal-weighted</t>
        </is>
      </c>
    </row>
    <row r="7" ht="15" customHeight="1">
      <c r="B7" s="14" t="inlineStr">
        <is>
          <t>Make-whole option</t>
        </is>
      </c>
      <c r="C7" s="41">
        <f>'Call Schedule (HY)'!C25*Inputs!C7/Inputs!C8</f>
        <v>-8.494629932290453</v>
      </c>
      <c r="D7" s="42" t="inlineStr">
        <is>
          <t>Short</t>
        </is>
      </c>
      <c r="E7" t="inlineStr">
        <is>
          <t>HY → deal-weighted</t>
        </is>
      </c>
    </row>
    <row r="8" ht="15" customHeight="1">
      <c r="B8" s="14" t="inlineStr">
        <is>
          <t>Free-and-clear basket</t>
        </is>
      </c>
      <c r="C8" s="41">
        <f>'Debt Incurrence'!C9</f>
        <v>-1.1236282979220173</v>
      </c>
      <c r="D8" s="42" t="inlineStr">
        <is>
          <t>Short</t>
        </is>
      </c>
      <c r="E8" t="inlineStr">
        <is>
          <t>Deal (total debt × tenor)</t>
        </is>
      </c>
    </row>
    <row r="9" ht="15" customHeight="1">
      <c r="B9" s="14" t="inlineStr">
        <is>
          <t>Ratio-based incremental</t>
        </is>
      </c>
      <c r="C9" s="41">
        <f>'Debt Incurrence'!C21</f>
        <v>-30.259164137286955</v>
      </c>
      <c r="D9" s="42" t="inlineStr">
        <is>
          <t>Short</t>
        </is>
      </c>
      <c r="E9" t="inlineStr">
        <is>
          <t>Deal (total debt × tenor)</t>
        </is>
      </c>
    </row>
    <row r="10" ht="15" customHeight="1">
      <c r="B10" s="14" t="inlineStr">
        <is>
          <t>MFN protection uplift</t>
        </is>
      </c>
      <c r="C10" s="43">
        <f>'Debt Incurrence'!C28</f>
        <v>7.5</v>
      </c>
      <c r="D10" s="44" t="inlineStr">
        <is>
          <t>Long</t>
        </is>
      </c>
      <c r="E10" t="inlineStr">
        <is>
          <t>Deal (total debt × tenor)</t>
        </is>
      </c>
    </row>
    <row r="11" ht="15" customHeight="1">
      <c r="B11" s="14" t="inlineStr">
        <is>
          <t>RP starter basket</t>
        </is>
      </c>
      <c r="C11" s="41">
        <f>'Restricted Payments'!C7</f>
        <v>-18.678496381041327</v>
      </c>
      <c r="D11" s="42" t="inlineStr">
        <is>
          <t>Short</t>
        </is>
      </c>
      <c r="E11" t="inlineStr">
        <is>
          <t>Deal (total debt × tenor)</t>
        </is>
      </c>
    </row>
    <row r="12" ht="15" customHeight="1">
      <c r="B12" s="14" t="inlineStr">
        <is>
          <t>Leverage-based RP</t>
        </is>
      </c>
      <c r="C12" s="41">
        <f>'Restricted Payments'!C17</f>
        <v>-23.81508288582769</v>
      </c>
      <c r="D12" s="42" t="inlineStr">
        <is>
          <t>Short</t>
        </is>
      </c>
      <c r="E12" t="inlineStr">
        <is>
          <t>Deal (total debt × tenor)</t>
        </is>
      </c>
    </row>
    <row r="13" ht="15" customHeight="1">
      <c r="B13" s="14" t="inlineStr">
        <is>
          <t>Builder basket (Asian)</t>
        </is>
      </c>
      <c r="C13" s="41">
        <f>'Restricted Payments'!C28</f>
        <v>-397.7366443567308</v>
      </c>
      <c r="D13" s="42" t="inlineStr">
        <is>
          <t>Short</t>
        </is>
      </c>
      <c r="E13" t="inlineStr">
        <is>
          <t>Deal (total debt × tenor)</t>
        </is>
      </c>
    </row>
    <row r="14" ht="15" customHeight="1">
      <c r="B14" s="14" t="inlineStr">
        <is>
          <t>Asset-sale reinvestment</t>
        </is>
      </c>
      <c r="C14" s="41">
        <f>'Asset Sale Bundle'!C8</f>
        <v>-0.9339248190520664</v>
      </c>
      <c r="D14" s="42" t="inlineStr">
        <is>
          <t>Short</t>
        </is>
      </c>
      <c r="E14" t="inlineStr">
        <is>
          <t>Deal (total debt × tenor)</t>
        </is>
      </c>
    </row>
    <row r="15" ht="15" customHeight="1">
      <c r="B15" s="14" t="inlineStr">
        <is>
          <t>Asset-sale step-down</t>
        </is>
      </c>
      <c r="C15" s="41">
        <f>'Asset Sale Bundle'!C13</f>
        <v>-1.4008872285780993</v>
      </c>
      <c r="D15" s="42" t="inlineStr">
        <is>
          <t>Short</t>
        </is>
      </c>
      <c r="E15" t="inlineStr">
        <is>
          <t>Deal (total debt × tenor)</t>
        </is>
      </c>
    </row>
    <row r="16" ht="15" customHeight="1">
      <c r="B16" s="14" t="inlineStr">
        <is>
          <t>CoC put (net of portability)</t>
        </is>
      </c>
      <c r="C16" s="43">
        <f>'CoC &amp; Portability'!C20*('CoC &amp; Portability'!C7/Inputs!C21)*(Inputs!C7/Inputs!C8)</f>
        <v>0.7489442823343836</v>
      </c>
      <c r="D16" s="44" t="inlineStr">
        <is>
          <t>Long</t>
        </is>
      </c>
      <c r="E16" t="inlineStr">
        <is>
          <t>HY → deal-weighted</t>
        </is>
      </c>
    </row>
    <row r="17" ht="15" customHeight="1">
      <c r="B17" s="14" t="inlineStr">
        <is>
          <t>Disguised portability giveback</t>
        </is>
      </c>
      <c r="C17" s="41">
        <f>-'CoC &amp; Portability'!C21*('CoC &amp; Portability'!C7/Inputs!C21)*(Inputs!C7/Inputs!C8)</f>
        <v>-1.1714256723691638</v>
      </c>
      <c r="D17" s="42" t="inlineStr">
        <is>
          <t>Short</t>
        </is>
      </c>
      <c r="E17" t="inlineStr">
        <is>
          <t>HY → deal-weighted</t>
        </is>
      </c>
    </row>
    <row r="18" ht="15" customHeight="1">
      <c r="B18" s="14" t="inlineStr">
        <is>
          <t>Equity cure</t>
        </is>
      </c>
      <c r="C18" s="41">
        <f>'Equity Cure'!C16</f>
        <v>-1.327137740767248e-10</v>
      </c>
      <c r="D18" s="42" t="inlineStr">
        <is>
          <t>Short</t>
        </is>
      </c>
      <c r="E18" t="inlineStr">
        <is>
          <t>Deal (total debt × tenor)</t>
        </is>
      </c>
    </row>
    <row r="19" ht="15" customHeight="1">
      <c r="B19" s="14" t="inlineStr">
        <is>
          <t>Springing covenant</t>
        </is>
      </c>
      <c r="C19" s="43">
        <f>'Springing Cov + MFN'!C8</f>
        <v>11.25</v>
      </c>
      <c r="D19" s="44" t="inlineStr">
        <is>
          <t>Long</t>
        </is>
      </c>
      <c r="E19" t="inlineStr">
        <is>
          <t>Deal (total debt × tenor)</t>
        </is>
      </c>
    </row>
    <row r="20" ht="15" customHeight="1">
      <c r="B20" s="14" t="inlineStr">
        <is>
          <t>MFN lookback uplift</t>
        </is>
      </c>
      <c r="C20" s="43">
        <f>'Springing Cov + MFN'!C15</f>
        <v>7.5</v>
      </c>
      <c r="D20" s="44" t="inlineStr">
        <is>
          <t>Long</t>
        </is>
      </c>
      <c r="E20" t="inlineStr">
        <is>
          <t>Deal (total debt × tenor)</t>
        </is>
      </c>
    </row>
    <row r="21" ht="15" customHeight="1">
      <c r="B21" s="14" t="inlineStr">
        <is>
          <t>Anti-Serta value</t>
        </is>
      </c>
      <c r="C21" s="43">
        <f>'LME Bundle'!C13</f>
        <v>5.771655381741808</v>
      </c>
      <c r="D21" s="44" t="inlineStr">
        <is>
          <t>Long</t>
        </is>
      </c>
      <c r="E21" t="inlineStr">
        <is>
          <t>Deal (total debt × tenor)</t>
        </is>
      </c>
    </row>
    <row r="22" ht="15" customHeight="1">
      <c r="B22" s="14" t="inlineStr">
        <is>
          <t>Anti-J.Crew value</t>
        </is>
      </c>
      <c r="C22" s="43">
        <f>'LME Bundle'!C19</f>
        <v>36.10763483539575</v>
      </c>
      <c r="D22" s="44" t="inlineStr">
        <is>
          <t>Long</t>
        </is>
      </c>
      <c r="E22" t="inlineStr">
        <is>
          <t>Deal (total debt × tenor)</t>
        </is>
      </c>
    </row>
    <row r="23" ht="17.25" customHeight="1">
      <c r="B23" s="13" t="inlineStr">
        <is>
          <t>TOTAL NET OPTIONALITY (bps)</t>
        </is>
      </c>
      <c r="C23" s="45">
        <f>SUM(C5:C22)</f>
        <v>-416.0188332848243</v>
      </c>
    </row>
    <row r="25" ht="15" customHeight="1">
      <c r="B25" s="14" t="inlineStr">
        <is>
          <t>Market spread (bps)</t>
        </is>
      </c>
      <c r="C25" s="28">
        <f>Inputs!C22</f>
        <v>248.0</v>
      </c>
    </row>
    <row r="26" ht="15" customHeight="1">
      <c r="B26" s="14" t="inlineStr">
        <is>
          <t>Pure credit-risk component (Merton adj.)</t>
        </is>
      </c>
      <c r="C26" s="28">
        <f>'Merton Credit Put'!C27</f>
        <v>4.764142101654212e-06</v>
      </c>
    </row>
    <row r="27" ht="15" customHeight="1">
      <c r="B27" s="14" t="inlineStr">
        <is>
          <t>Optionality cost embedded in spread</t>
        </is>
      </c>
      <c r="C27" s="31">
        <f>C25-C26</f>
        <v>247.9999952358579</v>
      </c>
    </row>
    <row r="28" ht="15" customHeight="1">
      <c r="B28" s="14" t="inlineStr">
        <is>
          <t>Model required spread for optionality (ex-Merton)</t>
        </is>
      </c>
      <c r="C28" s="31">
        <f>-(C23-C5)</f>
        <v>416.01882852068223</v>
      </c>
    </row>
    <row r="29" ht="15" customHeight="1">
      <c r="B29" s="14" t="inlineStr">
        <is>
          <t>Mispricing (market optionality - model optionality)</t>
        </is>
      </c>
      <c r="C29" s="31">
        <f>C27-C28</f>
        <v>-168.01883328482432</v>
      </c>
    </row>
    <row r="31" ht="15" customHeight="1">
      <c r="B31" s="6" t="inlineStr">
        <is>
          <t>Note (v2.1): all values normalised to annualised bps on Total Debt × Tenor.</t>
        </is>
      </c>
    </row>
    <row r="32" ht="15" customHeight="1">
      <c r="B32" s="6" t="inlineStr">
        <is>
          <t>HY-only options (calls, CoC, portability) face-weighted by HY/Total Debt in this sheet.</t>
        </is>
      </c>
    </row>
    <row r="33" ht="15" customHeight="1">
      <c r="B33" s="16" t="inlineStr">
        <is>
          <t>Cheap if Mispricing &gt; 0 (market over-compensates); rich if &lt; 0 (model values options higher).</t>
        </is>
      </c>
    </row>
    <row r="34" ht="15" customHeight="1">
      <c r="B34" s="16" t="inlineStr">
        <is>
          <t>Parametric; canonical Grifols figures live in Grifols_Model_v8.xlsx.</t>
        </is>
      </c>
    </row>
  </sheetData>
  <mergeCells count="1">
    <mergeCell ref="B1:D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B1:H16"/>
  <sheetViews>
    <sheetView workbookViewId="0">
      <selection activeCell="A1" sqref="A1"/>
    </sheetView>
  </sheetViews>
  <sheetFormatPr baseColWidth="8" defaultRowHeight="15"/>
  <cols>
    <col width="32" customWidth="1" min="2" max="2"/>
    <col width="14" customWidth="1" min="3" max="3"/>
    <col width="14" customWidth="1" min="4" max="4"/>
    <col width="14" customWidth="1" min="5" max="5"/>
    <col width="14" customWidth="1" min="6" max="6"/>
    <col width="14" customWidth="1" min="7" max="7"/>
    <col width="38" customWidth="1" min="8" max="8"/>
  </cols>
  <sheetData>
    <row r="1">
      <c r="B1" s="48" t="inlineStr">
        <is>
          <t>ONE-WAY SENSITIVITY — Total Net Optionality (bps)</t>
        </is>
      </c>
    </row>
    <row r="2">
      <c r="B2" s="49" t="inlineStr">
        <is>
          <t>Each row holds all other inputs at base, then flexes one input across the listed values. Cells show TOTAL NET OPTIONALITY in bps.</t>
        </is>
      </c>
    </row>
    <row r="4">
      <c r="B4" s="50" t="inlineStr">
        <is>
          <t>Input flexed</t>
        </is>
      </c>
      <c r="C4" s="50" t="inlineStr">
        <is>
          <t>Low</t>
        </is>
      </c>
      <c r="D4" s="50" t="inlineStr">
        <is>
          <t>Mid-low</t>
        </is>
      </c>
      <c r="E4" s="50" t="inlineStr">
        <is>
          <t>Base</t>
        </is>
      </c>
      <c r="F4" s="50" t="inlineStr">
        <is>
          <t>Mid-high</t>
        </is>
      </c>
      <c r="G4" s="50" t="inlineStr">
        <is>
          <t>High</t>
        </is>
      </c>
      <c r="H4" s="50" t="inlineStr">
        <is>
          <t>Notes</t>
        </is>
      </c>
    </row>
    <row r="5">
      <c r="B5" s="51" t="inlineStr">
        <is>
          <t>Enterprise Value (€m)</t>
        </is>
      </c>
      <c r="C5" s="52" t="n">
        <v>-423.2436126045163</v>
      </c>
      <c r="D5" s="52" t="n">
        <v>-419.6309000162527</v>
      </c>
      <c r="E5" s="53" t="n">
        <v>-416.0188332848243</v>
      </c>
      <c r="F5" s="52" t="n">
        <v>-412.4088590715273</v>
      </c>
      <c r="G5" s="52" t="n">
        <v>-408.7969046441307</v>
      </c>
      <c r="H5" s="54" t="inlineStr">
        <is>
          <t>Inputs!C4; sweeps: 14555, 16374, 18194, 20013, 21833</t>
        </is>
      </c>
    </row>
    <row r="6">
      <c r="B6" s="51" t="inlineStr">
        <is>
          <t>LTM EBITDA (€m)</t>
        </is>
      </c>
      <c r="C6" s="52" t="n">
        <v>-57.01402290206776</v>
      </c>
      <c r="D6" s="52" t="n">
        <v>-319.8003295857955</v>
      </c>
      <c r="E6" s="53" t="n">
        <v>-416.0188332848243</v>
      </c>
      <c r="F6" s="52" t="n">
        <v>-467.8838105997175</v>
      </c>
      <c r="G6" s="52" t="n">
        <v>-519.4262468312795</v>
      </c>
      <c r="H6" s="54" t="inlineStr">
        <is>
          <t>Inputs!C9; sweeps: 1354, 1524, 1693, 1863, 2032</t>
        </is>
      </c>
    </row>
    <row r="7">
      <c r="B7" s="51" t="inlineStr">
        <is>
          <t>Asset volatility σ_V</t>
        </is>
      </c>
      <c r="C7" s="52" t="n">
        <v>-416.0188285206822</v>
      </c>
      <c r="D7" s="52" t="n">
        <v>-416.0188285207009</v>
      </c>
      <c r="E7" s="53" t="n">
        <v>-416.0188332848243</v>
      </c>
      <c r="F7" s="52" t="n">
        <v>-416.0779411955787</v>
      </c>
      <c r="G7" s="52" t="n">
        <v>-418.3084579683505</v>
      </c>
      <c r="H7" s="54" t="inlineStr">
        <is>
          <t>Inputs!C13; sweeps: 0.04, 0.06, 0.08, 0.12, 0.16</t>
        </is>
      </c>
    </row>
    <row r="8">
      <c r="B8" s="51" t="inlineStr">
        <is>
          <t>EBITDA volatility σ_EBITDA</t>
        </is>
      </c>
      <c r="C8" s="52" t="n">
        <v>-416.0363915896457</v>
      </c>
      <c r="D8" s="52" t="n">
        <v>-416.0363574408707</v>
      </c>
      <c r="E8" s="53" t="n">
        <v>-416.0188332848243</v>
      </c>
      <c r="F8" s="52" t="n">
        <v>-414.2559632058282</v>
      </c>
      <c r="G8" s="52" t="n">
        <v>-406.1582211102594</v>
      </c>
      <c r="H8" s="54" t="inlineStr">
        <is>
          <t>Inputs!C14; sweeps: 0.04, 0.06, 0.08, 0.12, 0.16</t>
        </is>
      </c>
    </row>
    <row r="9">
      <c r="B9" s="51" t="inlineStr">
        <is>
          <t>Risk-free rate</t>
        </is>
      </c>
      <c r="C9" s="52" t="n">
        <v>-416.0190337521332</v>
      </c>
      <c r="D9" s="52" t="n">
        <v>-416.0188512021019</v>
      </c>
      <c r="E9" s="53" t="n">
        <v>-416.0188332848243</v>
      </c>
      <c r="F9" s="52" t="n">
        <v>-416.018829449955</v>
      </c>
      <c r="G9" s="52" t="n">
        <v>-416.0188285903118</v>
      </c>
      <c r="H9" s="54" t="inlineStr">
        <is>
          <t>Inputs!C20; sweeps: 0.02, 0.035, 0.045, 0.055, 0.07</t>
        </is>
      </c>
    </row>
    <row r="10">
      <c r="B10" s="51" t="inlineStr">
        <is>
          <t>Tenor (years)</t>
        </is>
      </c>
      <c r="C10" s="52" t="n">
        <v>-422.5586379598344</v>
      </c>
      <c r="D10" s="52" t="n">
        <v>-416.3253176553876</v>
      </c>
      <c r="E10" s="53" t="n">
        <v>-416.0188332848243</v>
      </c>
      <c r="F10" s="52" t="n">
        <v>-418.6466525523416</v>
      </c>
      <c r="G10" s="52" t="n">
        <v>-422.9050230016222</v>
      </c>
      <c r="H10" s="54" t="inlineStr">
        <is>
          <t>Inputs!C21; sweeps: 3, 4, 5, 6, 7</t>
        </is>
      </c>
    </row>
    <row r="11">
      <c r="B11" s="51" t="inlineStr">
        <is>
          <t>Market TLB spread (bps)</t>
        </is>
      </c>
      <c r="C11" s="52" t="n">
        <v>-416.0188332848243</v>
      </c>
      <c r="D11" s="52" t="n">
        <v>-416.0188332848243</v>
      </c>
      <c r="E11" s="53" t="n">
        <v>-416.0188332848243</v>
      </c>
      <c r="F11" s="52" t="n">
        <v>-416.0188332848243</v>
      </c>
      <c r="G11" s="52" t="n">
        <v>-416.0188332848243</v>
      </c>
      <c r="H11" s="54" t="inlineStr">
        <is>
          <t>Inputs!C22; sweeps: 150, 200, 248, 300, 400</t>
        </is>
      </c>
    </row>
    <row r="12">
      <c r="B12" s="51" t="inlineStr">
        <is>
          <t>CoC hazard (annual)</t>
        </is>
      </c>
      <c r="C12" s="52" t="n">
        <v>-415.7538304500682</v>
      </c>
      <c r="D12" s="52" t="n">
        <v>-415.8764748722363</v>
      </c>
      <c r="E12" s="53" t="n">
        <v>-416.0188332848243</v>
      </c>
      <c r="F12" s="52" t="n">
        <v>-416.1043111694601</v>
      </c>
      <c r="G12" s="52" t="n">
        <v>-416.1845677462093</v>
      </c>
      <c r="H12" s="54" t="inlineStr">
        <is>
          <t>Inputs!C26; sweeps: 0.05, 0.1, 0.18, 0.25, 0.35</t>
        </is>
      </c>
    </row>
    <row r="13">
      <c r="B13" s="51" t="inlineStr">
        <is>
          <t>Permitted Holders coverage</t>
        </is>
      </c>
      <c r="C13" s="52" t="n">
        <v>-415.5195370966014</v>
      </c>
      <c r="D13" s="52" t="n">
        <v>-415.7691851907129</v>
      </c>
      <c r="E13" s="53" t="n">
        <v>-416.0188332848243</v>
      </c>
      <c r="F13" s="52" t="n">
        <v>-416.3933054259915</v>
      </c>
      <c r="G13" s="52" t="n">
        <v>-416.7677775671587</v>
      </c>
      <c r="H13" s="54" t="inlineStr">
        <is>
          <t>Inputs!C28; sweeps: 0.2, 0.3, 0.4, 0.55, 0.7</t>
        </is>
      </c>
    </row>
    <row r="15">
      <c r="B15" s="55" t="inlineStr">
        <is>
          <t>Base case total: -416.02 bps</t>
        </is>
      </c>
    </row>
    <row r="16">
      <c r="B16" s="49" t="inlineStr">
        <is>
          <t>Yellow cells highlight base-case values. All other cells flex one input.</t>
        </is>
      </c>
    </row>
  </sheetData>
  <mergeCells count="4">
    <mergeCell ref="B1:H1"/>
    <mergeCell ref="B16:H16"/>
    <mergeCell ref="B2:H2"/>
    <mergeCell ref="B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2026-05-19T05:50:04Z</dcterms:created>
  <dcterms:modified xsi:type="dcterms:W3CDTF">2026-05-28T11:41:07Z</dcterms:modified>
  <cp:lastModifiedBy>Federico Etchelecu</cp:lastModifiedBy>
  <cp:revision>0</cp:revision>
</cp:coreProperties>
</file>